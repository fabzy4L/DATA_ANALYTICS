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PLATE TEMPLATE" sheetId="1" state="visible" r:id="rId3"/>
    <sheet name="PLATE INIGUEZ (100722)" sheetId="2" state="visible" r:id="rId4"/>
    <sheet name="VDS CONSOLIDATED DATA" sheetId="3" state="visible" r:id="rId5"/>
    <sheet name="ALL INIGUEZ" sheetId="4" state="visible" r:id="rId6"/>
    <sheet name="GENELISTDATA INIGUEZ" sheetId="5" state="visible" r:id="rId7"/>
    <sheet name="MATRIX Ct Transformed INIGUEZ" sheetId="6" state="visible" r:id="rId8"/>
    <sheet name="LINEARMODEL" sheetId="7" state="visible" r:id="rId9"/>
    <sheet name="MOBP &amp; BCAS - LINEARMODEL" sheetId="8" state="visible" r:id="rId10"/>
    <sheet name="MATRIX DATA TRANSFORMATION" sheetId="9" state="visible" r:id="rId11"/>
    <sheet name="FOLD CHANGE - MATRIX DATA" sheetId="10" state="visible" r:id="rId12"/>
    <sheet name="FC MATRIX - MOBP CORRECTED" sheetId="11" state="visible" r:id="rId13"/>
  </sheets>
  <definedNames>
    <definedName function="false" hidden="true" localSheetId="6" name="_xlnm._FilterDatabase" vbProcedure="false">LINEARMODEL!$A$1:$F$309</definedName>
    <definedName function="false" hidden="true" localSheetId="7" name="_xlnm._FilterDatabase" vbProcedure="false">'MOBP &amp; BCAS - LINEARMODEL'!$A$1:$F$309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<sst xmlns="http://schemas.openxmlformats.org/spreadsheetml/2006/main" count="5708" uniqueCount="163">
  <si>
    <t xml:space="preserve">PLATE</t>
  </si>
  <si>
    <t xml:space="preserve">GENE</t>
  </si>
  <si>
    <t xml:space="preserve">GENE1</t>
  </si>
  <si>
    <t xml:space="preserve">CONTROL 1</t>
  </si>
  <si>
    <t xml:space="preserve">CONTROL 2</t>
  </si>
  <si>
    <t xml:space="preserve">CONTROL 3</t>
  </si>
  <si>
    <t xml:space="preserve">CONTROL 5</t>
  </si>
  <si>
    <t xml:space="preserve">CONTROL 6</t>
  </si>
  <si>
    <t xml:space="preserve">CONTROL 7</t>
  </si>
  <si>
    <t xml:space="preserve">CONTROL 10</t>
  </si>
  <si>
    <t xml:space="preserve">CONTROL 11</t>
  </si>
  <si>
    <t xml:space="preserve">CONTROL 12</t>
  </si>
  <si>
    <t xml:space="preserve">CASE 1</t>
  </si>
  <si>
    <t xml:space="preserve">CASE 2</t>
  </si>
  <si>
    <t xml:space="preserve">CASE 3</t>
  </si>
  <si>
    <t xml:space="preserve">CASE 4</t>
  </si>
  <si>
    <t xml:space="preserve">CASE 5</t>
  </si>
  <si>
    <t xml:space="preserve">CASE 6</t>
  </si>
  <si>
    <t xml:space="preserve">CASE 7</t>
  </si>
  <si>
    <t xml:space="preserve">CASE 8</t>
  </si>
  <si>
    <t xml:space="preserve">CASE 9</t>
  </si>
  <si>
    <t xml:space="preserve">GENE2</t>
  </si>
  <si>
    <t xml:space="preserve">INSRR</t>
  </si>
  <si>
    <t xml:space="preserve">VDS 1</t>
  </si>
  <si>
    <t xml:space="preserve">VDS 2</t>
  </si>
  <si>
    <t xml:space="preserve">VDS 3</t>
  </si>
  <si>
    <t xml:space="preserve">VDS 4</t>
  </si>
  <si>
    <t xml:space="preserve">VDS 5</t>
  </si>
  <si>
    <t xml:space="preserve">VDS 7</t>
  </si>
  <si>
    <t xml:space="preserve">VDS 8</t>
  </si>
  <si>
    <t xml:space="preserve">VDS 10</t>
  </si>
  <si>
    <t xml:space="preserve">VDS 12</t>
  </si>
  <si>
    <t xml:space="preserve">GAPDH</t>
  </si>
  <si>
    <t xml:space="preserve">IGF2</t>
  </si>
  <si>
    <t xml:space="preserve">CCL2</t>
  </si>
  <si>
    <t xml:space="preserve">PAIPB</t>
  </si>
  <si>
    <t xml:space="preserve">SLC27A6</t>
  </si>
  <si>
    <t xml:space="preserve">BCAS1</t>
  </si>
  <si>
    <t xml:space="preserve">MOBP</t>
  </si>
  <si>
    <t xml:space="preserve">MBP</t>
  </si>
  <si>
    <t xml:space="preserve">COL1A1</t>
  </si>
  <si>
    <t xml:space="preserve">CDH19</t>
  </si>
  <si>
    <t xml:space="preserve">ERNM</t>
  </si>
  <si>
    <t xml:space="preserve">OPALIN</t>
  </si>
  <si>
    <t xml:space="preserve">FGF1</t>
  </si>
  <si>
    <t xml:space="preserve">Well</t>
  </si>
  <si>
    <t xml:space="preserve">Well Position</t>
  </si>
  <si>
    <t xml:space="preserve">Omit</t>
  </si>
  <si>
    <t xml:space="preserve">Sample Name</t>
  </si>
  <si>
    <t xml:space="preserve">Target Name</t>
  </si>
  <si>
    <t xml:space="preserve">Reporter</t>
  </si>
  <si>
    <t xml:space="preserve">Quencher</t>
  </si>
  <si>
    <t xml:space="preserve">CT</t>
  </si>
  <si>
    <t xml:space="preserve">Ct Mean</t>
  </si>
  <si>
    <t xml:space="preserve">Ct SD</t>
  </si>
  <si>
    <t xml:space="preserve">Quantity</t>
  </si>
  <si>
    <t xml:space="preserve">Quantity Mean</t>
  </si>
  <si>
    <t xml:space="preserve">Quantity SD</t>
  </si>
  <si>
    <t xml:space="preserve">Automatic Ct Threshold</t>
  </si>
  <si>
    <t xml:space="preserve">Ct Threshold</t>
  </si>
  <si>
    <t xml:space="preserve">Automatic Baseline</t>
  </si>
  <si>
    <t xml:space="preserve">Baseline Start</t>
  </si>
  <si>
    <t xml:space="preserve">Baseline End</t>
  </si>
  <si>
    <t xml:space="preserve">Comments</t>
  </si>
  <si>
    <t xml:space="preserve">Y-Intercept</t>
  </si>
  <si>
    <t xml:space="preserve">R(superscript 2)</t>
  </si>
  <si>
    <t xml:space="preserve">Tm1</t>
  </si>
  <si>
    <t xml:space="preserve">Slope</t>
  </si>
  <si>
    <t xml:space="preserve">Tm2</t>
  </si>
  <si>
    <t xml:space="preserve">Efficiency</t>
  </si>
  <si>
    <t xml:space="preserve">Tm3</t>
  </si>
  <si>
    <t xml:space="preserve">Custom1</t>
  </si>
  <si>
    <t xml:space="preserve">Custom2</t>
  </si>
  <si>
    <t xml:space="preserve">Custom3</t>
  </si>
  <si>
    <t xml:space="preserve">Custom4</t>
  </si>
  <si>
    <t xml:space="preserve">Custom5</t>
  </si>
  <si>
    <t xml:space="preserve">Custom6</t>
  </si>
  <si>
    <t xml:space="preserve">HIGHSD</t>
  </si>
  <si>
    <t xml:space="preserve">EXPFAIL</t>
  </si>
  <si>
    <t xml:space="preserve">MTP</t>
  </si>
  <si>
    <t xml:space="preserve">A1</t>
  </si>
  <si>
    <t xml:space="preserve">SYBR</t>
  </si>
  <si>
    <t xml:space="preserve">None</t>
  </si>
  <si>
    <t xml:space="preserve">Y</t>
  </si>
  <si>
    <t xml:space="preserve">N</t>
  </si>
  <si>
    <t xml:space="preserve">A2</t>
  </si>
  <si>
    <t xml:space="preserve">A3</t>
  </si>
  <si>
    <t xml:space="preserve">A4</t>
  </si>
  <si>
    <t xml:space="preserve">Undetermined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</si>
  <si>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</si>
  <si>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</si>
  <si>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</si>
  <si>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</si>
  <si>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</si>
  <si>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</si>
  <si>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</si>
  <si>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</si>
  <si>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</si>
  <si>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</si>
  <si>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</si>
  <si>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</si>
  <si>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</si>
  <si>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</si>
  <si>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</si>
  <si>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</si>
  <si>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C5</t>
  </si>
  <si>
    <t xml:space="preserve">C6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</si>
  <si>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</si>
  <si>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</si>
  <si>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</si>
  <si>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</si>
  <si>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</si>
  <si>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</si>
  <si>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</si>
  <si>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</si>
  <si>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</si>
  <si>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</si>
  <si>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</si>
  <si>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</si>
  <si>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</si>
  <si>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</si>
  <si>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</si>
  <si>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</si>
  <si>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</si>
  <si>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</si>
  <si>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</si>
  <si>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</si>
  <si>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F5</t>
  </si>
  <si>
    <t xml:space="preserve">F6</t>
  </si>
  <si>
    <t xml:space="preserve">UNKNOWN</t>
  </si>
  <si>
    <t xml:space="preserve">SAMPLE</t>
  </si>
  <si>
    <t xml:space="preserve">C1</t>
  </si>
  <si>
    <t xml:space="preserve">C2</t>
  </si>
  <si>
    <t xml:space="preserve">C3</t>
  </si>
  <si>
    <t xml:space="preserve">C7</t>
  </si>
  <si>
    <t xml:space="preserve">C10</t>
  </si>
  <si>
    <t xml:space="preserve">C11</t>
  </si>
  <si>
    <t xml:space="preserve">C12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</si>
  <si>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</si>
  <si>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</si>
  <si>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</si>
  <si>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</si>
  <si>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</si>
  <si>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V7</t>
  </si>
  <si>
    <t xml:space="preserve">V8</t>
  </si>
  <si>
    <t xml:space="preserve">V10</t>
  </si>
  <si>
    <t xml:space="preserve">V12</t>
  </si>
  <si>
    <t xml:space="preserve">WELL</t>
  </si>
  <si>
    <t xml:space="preserve">GENEID</t>
  </si>
  <si>
    <t xml:space="preserve">X (Ct)</t>
  </si>
  <si>
    <t xml:space="preserve">Log (y)</t>
  </si>
  <si>
    <t xml:space="preserve">Y = (MX+B)</t>
  </si>
  <si>
    <t xml:space="preserve">R^2</t>
  </si>
  <si>
    <t xml:space="preserve">SLOPE</t>
  </si>
  <si>
    <t xml:space="preserve">INTERCEPT</t>
  </si>
  <si>
    <t xml:space="preserve">10^Y</t>
  </si>
  <si>
    <t xml:space="preserve">100% IS CORRUPTED</t>
  </si>
  <si>
    <t xml:space="preserve">QPCR READS TRANSFORMED</t>
  </si>
  <si>
    <t xml:space="preserve">BCAS1*</t>
  </si>
  <si>
    <t xml:space="preserve">MOBP*</t>
  </si>
  <si>
    <t xml:space="preserve">FOLD CHANGE</t>
  </si>
  <si>
    <t xml:space="preserve">BCAS*</t>
  </si>
  <si>
    <t xml:space="preserve">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</si>
</sst>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%"/>
    <numFmt numFmtId="167" formatCode="0.00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trike val="true"/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00"/>
        <bgColor rgb="FFFFFF00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7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7" fontId="5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9900FF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00FF"/>
    <outlinePr summaryBelow="0"/>
    <pageSetUpPr fitToPage="false"/>
  </sheetPr>
  <dimension ref="A1:N57"/>
  <sheetViews>
    <sheetView showFormulas="false" showGridLines="true" showRowColHeaders="true" showZeros="true" rightToLeft="false" tabSelected="false" showOutlineSymbols="true" defaultGridColor="true" view="normal" topLeftCell="A10" colorId="64" zoomScale="75" zoomScaleNormal="75" zoomScalePageLayoutView="100" workbookViewId="0">
      <selection pane="topLeft" activeCell="A1" activeCellId="0" sqref="A1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0" width="7.75"/>
    <col collapsed="false" customWidth="true" hidden="false" outlineLevel="0" max="2" min="2" style="0" width="8.2"/>
    <col collapsed="false" customWidth="true" hidden="false" outlineLevel="0" max="3" min="3" style="0" width="9.21"/>
    <col collapsed="false" customWidth="true" hidden="false" outlineLevel="0" max="4" min="4" style="0" width="8.11"/>
    <col collapsed="false" customWidth="true" hidden="false" outlineLevel="0" max="6" min="5" style="0" width="7.02"/>
    <col collapsed="false" customWidth="true" hidden="false" outlineLevel="0" max="7" min="7" style="0" width="13.85"/>
    <col collapsed="false" customWidth="true" hidden="false" outlineLevel="0" max="12" min="8" style="0" width="12.76"/>
    <col collapsed="false" customWidth="true" hidden="false" outlineLevel="0" max="14" min="13" style="0" width="13.85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3"/>
      <c r="D1" s="4"/>
      <c r="E1" s="4"/>
      <c r="F1" s="5"/>
      <c r="G1" s="6"/>
      <c r="H1" s="4"/>
      <c r="I1" s="4"/>
      <c r="J1" s="4"/>
      <c r="K1" s="4"/>
      <c r="L1" s="4"/>
      <c r="M1" s="4"/>
      <c r="N1" s="5"/>
    </row>
    <row r="2" customFormat="false" ht="15.75" hidden="false" customHeight="false" outlineLevel="0" collapsed="false">
      <c r="A2" s="1" t="n">
        <v>1</v>
      </c>
      <c r="B2" s="7" t="s">
        <v>2</v>
      </c>
      <c r="C2" s="8" t="n">
        <v>1</v>
      </c>
      <c r="D2" s="9" t="n">
        <v>0.1</v>
      </c>
      <c r="E2" s="9" t="n">
        <v>0.01</v>
      </c>
      <c r="F2" s="10" t="n">
        <v>0.001</v>
      </c>
      <c r="G2" s="11" t="s">
        <v>3</v>
      </c>
      <c r="H2" s="12" t="s">
        <v>4</v>
      </c>
      <c r="I2" s="12" t="s">
        <v>5</v>
      </c>
      <c r="J2" s="12" t="s">
        <v>6</v>
      </c>
      <c r="K2" s="12" t="s">
        <v>7</v>
      </c>
      <c r="L2" s="12" t="s">
        <v>8</v>
      </c>
      <c r="M2" s="12" t="s">
        <v>9</v>
      </c>
      <c r="N2" s="13" t="s">
        <v>10</v>
      </c>
    </row>
    <row r="3" customFormat="false" ht="15.75" hidden="false" customHeight="false" outlineLevel="0" collapsed="false">
      <c r="A3" s="1"/>
      <c r="B3" s="14"/>
      <c r="C3" s="15"/>
      <c r="D3" s="16"/>
      <c r="E3" s="16"/>
      <c r="F3" s="17"/>
      <c r="G3" s="18" t="s">
        <v>11</v>
      </c>
      <c r="H3" s="16" t="s">
        <v>12</v>
      </c>
      <c r="I3" s="16" t="s">
        <v>13</v>
      </c>
      <c r="J3" s="16" t="s">
        <v>14</v>
      </c>
      <c r="K3" s="16" t="s">
        <v>15</v>
      </c>
      <c r="L3" s="16" t="s">
        <v>16</v>
      </c>
      <c r="M3" s="16" t="s">
        <v>17</v>
      </c>
      <c r="N3" s="17" t="s">
        <v>18</v>
      </c>
    </row>
    <row r="4" customFormat="false" ht="15.75" hidden="false" customHeight="false" outlineLevel="0" collapsed="false">
      <c r="A4" s="1"/>
      <c r="B4" s="19"/>
      <c r="C4" s="20"/>
      <c r="D4" s="21"/>
      <c r="E4" s="21"/>
      <c r="F4" s="22"/>
      <c r="G4" s="23" t="s">
        <v>19</v>
      </c>
      <c r="H4" s="21" t="s">
        <v>20</v>
      </c>
      <c r="I4" s="21"/>
      <c r="J4" s="21"/>
      <c r="K4" s="21"/>
      <c r="L4" s="21"/>
      <c r="M4" s="21"/>
      <c r="N4" s="22"/>
    </row>
    <row r="5" customFormat="false" ht="15.75" hidden="false" customHeight="false" outlineLevel="0" collapsed="false">
      <c r="A5" s="1"/>
      <c r="B5" s="24" t="s">
        <v>21</v>
      </c>
      <c r="C5" s="25" t="n">
        <v>1</v>
      </c>
      <c r="D5" s="26" t="n">
        <v>0.1</v>
      </c>
      <c r="E5" s="26" t="n">
        <v>0.01</v>
      </c>
      <c r="F5" s="27" t="n">
        <v>0.001</v>
      </c>
      <c r="G5" s="11" t="s">
        <v>3</v>
      </c>
      <c r="H5" s="12" t="s">
        <v>4</v>
      </c>
      <c r="I5" s="12" t="s">
        <v>5</v>
      </c>
      <c r="J5" s="12" t="s">
        <v>6</v>
      </c>
      <c r="K5" s="12" t="s">
        <v>7</v>
      </c>
      <c r="L5" s="12" t="s">
        <v>8</v>
      </c>
      <c r="M5" s="12" t="s">
        <v>9</v>
      </c>
      <c r="N5" s="13" t="s">
        <v>10</v>
      </c>
    </row>
    <row r="6" customFormat="false" ht="15.75" hidden="false" customHeight="false" outlineLevel="0" collapsed="false">
      <c r="A6" s="1"/>
      <c r="B6" s="14"/>
      <c r="C6" s="15"/>
      <c r="D6" s="16"/>
      <c r="E6" s="16"/>
      <c r="F6" s="17"/>
      <c r="G6" s="18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7" t="s">
        <v>18</v>
      </c>
    </row>
    <row r="7" customFormat="false" ht="15.75" hidden="false" customHeight="false" outlineLevel="0" collapsed="false">
      <c r="A7" s="1"/>
      <c r="B7" s="14"/>
      <c r="C7" s="15"/>
      <c r="D7" s="16"/>
      <c r="E7" s="16"/>
      <c r="F7" s="17"/>
      <c r="G7" s="18" t="s">
        <v>19</v>
      </c>
      <c r="H7" s="16" t="s">
        <v>20</v>
      </c>
      <c r="I7" s="16"/>
      <c r="J7" s="16"/>
      <c r="K7" s="16"/>
      <c r="L7" s="16"/>
      <c r="M7" s="16"/>
      <c r="N7" s="17"/>
    </row>
    <row r="8" customFormat="false" ht="15.75" hidden="false" customHeight="false" outlineLevel="0" collapsed="false">
      <c r="A8" s="1"/>
      <c r="B8" s="14"/>
      <c r="C8" s="15"/>
      <c r="D8" s="16"/>
      <c r="E8" s="16"/>
      <c r="F8" s="17"/>
      <c r="G8" s="18"/>
      <c r="H8" s="16"/>
      <c r="I8" s="16"/>
      <c r="J8" s="16"/>
      <c r="K8" s="16"/>
      <c r="L8" s="16"/>
      <c r="M8" s="16"/>
      <c r="N8" s="17"/>
    </row>
    <row r="9" customFormat="false" ht="15.75" hidden="false" customHeight="false" outlineLevel="0" collapsed="false">
      <c r="A9" s="1"/>
      <c r="B9" s="19"/>
      <c r="C9" s="20"/>
      <c r="D9" s="21"/>
      <c r="E9" s="21"/>
      <c r="F9" s="22"/>
      <c r="G9" s="23"/>
      <c r="H9" s="21"/>
      <c r="I9" s="21"/>
      <c r="J9" s="21"/>
      <c r="K9" s="21"/>
      <c r="L9" s="21"/>
      <c r="M9" s="21"/>
      <c r="N9" s="22"/>
    </row>
    <row r="10" customFormat="false" ht="15.75" hidden="false" customHeight="false" outlineLevel="0" collapsed="false">
      <c r="A10" s="1" t="n">
        <v>2</v>
      </c>
      <c r="B10" s="7" t="s">
        <v>2</v>
      </c>
      <c r="C10" s="8" t="n">
        <v>1</v>
      </c>
      <c r="D10" s="9" t="n">
        <v>0.1</v>
      </c>
      <c r="E10" s="9" t="n">
        <v>0.01</v>
      </c>
      <c r="F10" s="10" t="n">
        <v>0.001</v>
      </c>
      <c r="G10" s="11" t="s">
        <v>3</v>
      </c>
      <c r="H10" s="12" t="s">
        <v>4</v>
      </c>
      <c r="I10" s="12" t="s">
        <v>5</v>
      </c>
      <c r="J10" s="12" t="s">
        <v>6</v>
      </c>
      <c r="K10" s="12" t="s">
        <v>7</v>
      </c>
      <c r="L10" s="12" t="s">
        <v>8</v>
      </c>
      <c r="M10" s="12" t="s">
        <v>9</v>
      </c>
      <c r="N10" s="13" t="s">
        <v>10</v>
      </c>
    </row>
    <row r="11" customFormat="false" ht="15.75" hidden="false" customHeight="false" outlineLevel="0" collapsed="false">
      <c r="A11" s="1"/>
      <c r="B11" s="14"/>
      <c r="C11" s="15"/>
      <c r="D11" s="16"/>
      <c r="E11" s="16"/>
      <c r="F11" s="17"/>
      <c r="G11" s="18" t="s">
        <v>11</v>
      </c>
      <c r="H11" s="16" t="s">
        <v>12</v>
      </c>
      <c r="I11" s="16" t="s">
        <v>13</v>
      </c>
      <c r="J11" s="16" t="s">
        <v>14</v>
      </c>
      <c r="K11" s="16" t="s">
        <v>15</v>
      </c>
      <c r="L11" s="16" t="s">
        <v>16</v>
      </c>
      <c r="M11" s="16" t="s">
        <v>17</v>
      </c>
      <c r="N11" s="17" t="s">
        <v>18</v>
      </c>
    </row>
    <row r="12" customFormat="false" ht="15.75" hidden="false" customHeight="false" outlineLevel="0" collapsed="false">
      <c r="A12" s="1"/>
      <c r="B12" s="19"/>
      <c r="C12" s="20"/>
      <c r="D12" s="21"/>
      <c r="E12" s="21"/>
      <c r="F12" s="22"/>
      <c r="G12" s="23" t="s">
        <v>19</v>
      </c>
      <c r="H12" s="21" t="s">
        <v>20</v>
      </c>
      <c r="I12" s="21"/>
      <c r="J12" s="21"/>
      <c r="K12" s="21"/>
      <c r="L12" s="21"/>
      <c r="M12" s="21"/>
      <c r="N12" s="22"/>
    </row>
    <row r="13" customFormat="false" ht="15.75" hidden="false" customHeight="false" outlineLevel="0" collapsed="false">
      <c r="A13" s="1"/>
      <c r="B13" s="24" t="s">
        <v>21</v>
      </c>
      <c r="C13" s="25" t="n">
        <v>1</v>
      </c>
      <c r="D13" s="26" t="n">
        <v>0.1</v>
      </c>
      <c r="E13" s="26" t="n">
        <v>0.01</v>
      </c>
      <c r="F13" s="27" t="n">
        <v>0.001</v>
      </c>
      <c r="G13" s="11" t="s">
        <v>3</v>
      </c>
      <c r="H13" s="12" t="s">
        <v>4</v>
      </c>
      <c r="I13" s="12" t="s">
        <v>5</v>
      </c>
      <c r="J13" s="12" t="s">
        <v>6</v>
      </c>
      <c r="K13" s="12" t="s">
        <v>7</v>
      </c>
      <c r="L13" s="12" t="s">
        <v>8</v>
      </c>
      <c r="M13" s="12" t="s">
        <v>9</v>
      </c>
      <c r="N13" s="13" t="s">
        <v>10</v>
      </c>
    </row>
    <row r="14" customFormat="false" ht="15.75" hidden="false" customHeight="false" outlineLevel="0" collapsed="false">
      <c r="A14" s="1"/>
      <c r="B14" s="14"/>
      <c r="C14" s="15"/>
      <c r="D14" s="16"/>
      <c r="E14" s="16"/>
      <c r="F14" s="17"/>
      <c r="G14" s="18" t="s">
        <v>11</v>
      </c>
      <c r="H14" s="16" t="s">
        <v>12</v>
      </c>
      <c r="I14" s="16" t="s">
        <v>13</v>
      </c>
      <c r="J14" s="16" t="s">
        <v>14</v>
      </c>
      <c r="K14" s="16" t="s">
        <v>15</v>
      </c>
      <c r="L14" s="16" t="s">
        <v>16</v>
      </c>
      <c r="M14" s="16" t="s">
        <v>17</v>
      </c>
      <c r="N14" s="17" t="s">
        <v>18</v>
      </c>
    </row>
    <row r="15" customFormat="false" ht="15.75" hidden="false" customHeight="false" outlineLevel="0" collapsed="false">
      <c r="A15" s="1"/>
      <c r="B15" s="14"/>
      <c r="C15" s="15"/>
      <c r="D15" s="16"/>
      <c r="E15" s="16"/>
      <c r="F15" s="17"/>
      <c r="G15" s="18" t="s">
        <v>19</v>
      </c>
      <c r="H15" s="16" t="s">
        <v>20</v>
      </c>
      <c r="I15" s="16"/>
      <c r="J15" s="16"/>
      <c r="K15" s="16"/>
      <c r="L15" s="16"/>
      <c r="M15" s="16"/>
      <c r="N15" s="17"/>
    </row>
    <row r="16" customFormat="false" ht="15.75" hidden="false" customHeight="false" outlineLevel="0" collapsed="false">
      <c r="A16" s="1"/>
      <c r="B16" s="14"/>
      <c r="C16" s="15"/>
      <c r="D16" s="16"/>
      <c r="E16" s="16"/>
      <c r="F16" s="17"/>
      <c r="G16" s="18"/>
      <c r="H16" s="16"/>
      <c r="I16" s="16"/>
      <c r="J16" s="16"/>
      <c r="K16" s="16"/>
      <c r="L16" s="16"/>
      <c r="M16" s="16"/>
      <c r="N16" s="17"/>
    </row>
    <row r="17" customFormat="false" ht="15.75" hidden="false" customHeight="false" outlineLevel="0" collapsed="false">
      <c r="A17" s="1"/>
      <c r="B17" s="19"/>
      <c r="C17" s="20"/>
      <c r="D17" s="21"/>
      <c r="E17" s="21"/>
      <c r="F17" s="22"/>
      <c r="G17" s="23"/>
      <c r="H17" s="21"/>
      <c r="I17" s="21"/>
      <c r="J17" s="21"/>
      <c r="K17" s="21"/>
      <c r="L17" s="21"/>
      <c r="M17" s="21"/>
      <c r="N17" s="22"/>
    </row>
    <row r="18" customFormat="false" ht="15.75" hidden="false" customHeight="false" outlineLevel="0" collapsed="false">
      <c r="A18" s="1" t="n">
        <v>3</v>
      </c>
      <c r="B18" s="7" t="s">
        <v>2</v>
      </c>
      <c r="C18" s="8" t="n">
        <v>1</v>
      </c>
      <c r="D18" s="9" t="n">
        <v>0.1</v>
      </c>
      <c r="E18" s="9" t="n">
        <v>0.01</v>
      </c>
      <c r="F18" s="10" t="n">
        <v>0.001</v>
      </c>
      <c r="G18" s="11" t="s">
        <v>3</v>
      </c>
      <c r="H18" s="12" t="s">
        <v>4</v>
      </c>
      <c r="I18" s="12" t="s">
        <v>5</v>
      </c>
      <c r="J18" s="12" t="s">
        <v>6</v>
      </c>
      <c r="K18" s="12" t="s">
        <v>7</v>
      </c>
      <c r="L18" s="12" t="s">
        <v>8</v>
      </c>
      <c r="M18" s="12" t="s">
        <v>9</v>
      </c>
      <c r="N18" s="13" t="s">
        <v>10</v>
      </c>
    </row>
    <row r="19" customFormat="false" ht="15.75" hidden="false" customHeight="false" outlineLevel="0" collapsed="false">
      <c r="A19" s="1"/>
      <c r="B19" s="14"/>
      <c r="C19" s="15"/>
      <c r="D19" s="16"/>
      <c r="E19" s="16"/>
      <c r="F19" s="17"/>
      <c r="G19" s="18" t="s">
        <v>11</v>
      </c>
      <c r="H19" s="16" t="s">
        <v>12</v>
      </c>
      <c r="I19" s="16" t="s">
        <v>13</v>
      </c>
      <c r="J19" s="16" t="s">
        <v>14</v>
      </c>
      <c r="K19" s="16" t="s">
        <v>15</v>
      </c>
      <c r="L19" s="16" t="s">
        <v>16</v>
      </c>
      <c r="M19" s="16" t="s">
        <v>17</v>
      </c>
      <c r="N19" s="17" t="s">
        <v>18</v>
      </c>
    </row>
    <row r="20" customFormat="false" ht="15.75" hidden="false" customHeight="false" outlineLevel="0" collapsed="false">
      <c r="A20" s="1"/>
      <c r="B20" s="19"/>
      <c r="C20" s="20"/>
      <c r="D20" s="21"/>
      <c r="E20" s="21"/>
      <c r="F20" s="22"/>
      <c r="G20" s="23" t="s">
        <v>19</v>
      </c>
      <c r="H20" s="21" t="s">
        <v>20</v>
      </c>
      <c r="I20" s="21"/>
      <c r="J20" s="21"/>
      <c r="K20" s="21"/>
      <c r="L20" s="21"/>
      <c r="M20" s="21"/>
      <c r="N20" s="22"/>
    </row>
    <row r="21" customFormat="false" ht="15.75" hidden="false" customHeight="false" outlineLevel="0" collapsed="false">
      <c r="A21" s="1"/>
      <c r="B21" s="24" t="s">
        <v>21</v>
      </c>
      <c r="C21" s="28" t="n">
        <v>1</v>
      </c>
      <c r="D21" s="29" t="n">
        <v>0.1</v>
      </c>
      <c r="E21" s="29" t="n">
        <v>0.01</v>
      </c>
      <c r="F21" s="30" t="n">
        <v>0.001</v>
      </c>
      <c r="G21" s="11" t="s">
        <v>3</v>
      </c>
      <c r="H21" s="12" t="s">
        <v>4</v>
      </c>
      <c r="I21" s="12" t="s">
        <v>5</v>
      </c>
      <c r="J21" s="12" t="s">
        <v>6</v>
      </c>
      <c r="K21" s="12" t="s">
        <v>7</v>
      </c>
      <c r="L21" s="12" t="s">
        <v>8</v>
      </c>
      <c r="M21" s="12" t="s">
        <v>9</v>
      </c>
      <c r="N21" s="13" t="s">
        <v>10</v>
      </c>
    </row>
    <row r="22" customFormat="false" ht="15.75" hidden="false" customHeight="false" outlineLevel="0" collapsed="false">
      <c r="A22" s="1"/>
      <c r="B22" s="14"/>
      <c r="C22" s="15"/>
      <c r="D22" s="16"/>
      <c r="E22" s="16"/>
      <c r="F22" s="17"/>
      <c r="G22" s="18" t="s">
        <v>11</v>
      </c>
      <c r="H22" s="16" t="s">
        <v>12</v>
      </c>
      <c r="I22" s="16" t="s">
        <v>13</v>
      </c>
      <c r="J22" s="16" t="s">
        <v>14</v>
      </c>
      <c r="K22" s="16" t="s">
        <v>15</v>
      </c>
      <c r="L22" s="16" t="s">
        <v>16</v>
      </c>
      <c r="M22" s="16" t="s">
        <v>17</v>
      </c>
      <c r="N22" s="17" t="s">
        <v>18</v>
      </c>
    </row>
    <row r="23" customFormat="false" ht="15.75" hidden="false" customHeight="false" outlineLevel="0" collapsed="false">
      <c r="A23" s="1"/>
      <c r="B23" s="14"/>
      <c r="C23" s="15"/>
      <c r="D23" s="16"/>
      <c r="E23" s="16"/>
      <c r="F23" s="17"/>
      <c r="G23" s="18" t="s">
        <v>19</v>
      </c>
      <c r="H23" s="16" t="s">
        <v>20</v>
      </c>
      <c r="I23" s="16"/>
      <c r="J23" s="16"/>
      <c r="K23" s="16"/>
      <c r="L23" s="16"/>
      <c r="M23" s="16"/>
      <c r="N23" s="17"/>
    </row>
    <row r="24" customFormat="false" ht="15.75" hidden="false" customHeight="false" outlineLevel="0" collapsed="false">
      <c r="A24" s="1"/>
      <c r="B24" s="14"/>
      <c r="C24" s="15"/>
      <c r="D24" s="16"/>
      <c r="E24" s="16"/>
      <c r="F24" s="17"/>
      <c r="G24" s="18"/>
      <c r="H24" s="16"/>
      <c r="I24" s="16"/>
      <c r="J24" s="16"/>
      <c r="K24" s="16"/>
      <c r="L24" s="16"/>
      <c r="M24" s="16"/>
      <c r="N24" s="17"/>
    </row>
    <row r="25" customFormat="false" ht="15.75" hidden="false" customHeight="false" outlineLevel="0" collapsed="false">
      <c r="A25" s="1"/>
      <c r="B25" s="19"/>
      <c r="C25" s="20"/>
      <c r="D25" s="21"/>
      <c r="E25" s="21"/>
      <c r="F25" s="22"/>
      <c r="G25" s="23"/>
      <c r="H25" s="21"/>
      <c r="I25" s="21"/>
      <c r="J25" s="21"/>
      <c r="K25" s="21"/>
      <c r="L25" s="21"/>
      <c r="M25" s="21"/>
      <c r="N25" s="22"/>
    </row>
    <row r="26" customFormat="false" ht="15.75" hidden="false" customHeight="false" outlineLevel="0" collapsed="false">
      <c r="A26" s="1" t="n">
        <v>4</v>
      </c>
      <c r="B26" s="7" t="s">
        <v>2</v>
      </c>
      <c r="C26" s="8" t="n">
        <v>1</v>
      </c>
      <c r="D26" s="9" t="n">
        <v>0.1</v>
      </c>
      <c r="E26" s="9" t="n">
        <v>0.01</v>
      </c>
      <c r="F26" s="10" t="n">
        <v>0.001</v>
      </c>
      <c r="G26" s="11" t="s">
        <v>3</v>
      </c>
      <c r="H26" s="12" t="s">
        <v>4</v>
      </c>
      <c r="I26" s="12" t="s">
        <v>5</v>
      </c>
      <c r="J26" s="12" t="s">
        <v>6</v>
      </c>
      <c r="K26" s="12" t="s">
        <v>7</v>
      </c>
      <c r="L26" s="12" t="s">
        <v>8</v>
      </c>
      <c r="M26" s="12" t="s">
        <v>9</v>
      </c>
      <c r="N26" s="13" t="s">
        <v>10</v>
      </c>
    </row>
    <row r="27" customFormat="false" ht="15.75" hidden="false" customHeight="false" outlineLevel="0" collapsed="false">
      <c r="A27" s="1"/>
      <c r="B27" s="14"/>
      <c r="C27" s="15"/>
      <c r="D27" s="16"/>
      <c r="E27" s="16"/>
      <c r="F27" s="17"/>
      <c r="G27" s="18" t="s">
        <v>11</v>
      </c>
      <c r="H27" s="16" t="s">
        <v>12</v>
      </c>
      <c r="I27" s="16" t="s">
        <v>13</v>
      </c>
      <c r="J27" s="16" t="s">
        <v>14</v>
      </c>
      <c r="K27" s="16" t="s">
        <v>15</v>
      </c>
      <c r="L27" s="16" t="s">
        <v>16</v>
      </c>
      <c r="M27" s="16" t="s">
        <v>17</v>
      </c>
      <c r="N27" s="17" t="s">
        <v>18</v>
      </c>
    </row>
    <row r="28" customFormat="false" ht="15.75" hidden="false" customHeight="false" outlineLevel="0" collapsed="false">
      <c r="A28" s="1"/>
      <c r="B28" s="19"/>
      <c r="C28" s="20"/>
      <c r="D28" s="21"/>
      <c r="E28" s="21"/>
      <c r="F28" s="22"/>
      <c r="G28" s="23" t="s">
        <v>19</v>
      </c>
      <c r="H28" s="21" t="s">
        <v>20</v>
      </c>
      <c r="I28" s="21"/>
      <c r="J28" s="21"/>
      <c r="K28" s="21"/>
      <c r="L28" s="21"/>
      <c r="M28" s="21"/>
      <c r="N28" s="22"/>
    </row>
    <row r="29" customFormat="false" ht="15.75" hidden="false" customHeight="false" outlineLevel="0" collapsed="false">
      <c r="A29" s="1"/>
      <c r="B29" s="24" t="s">
        <v>21</v>
      </c>
      <c r="C29" s="28" t="n">
        <v>1</v>
      </c>
      <c r="D29" s="29" t="n">
        <v>0.1</v>
      </c>
      <c r="E29" s="29" t="n">
        <v>0.01</v>
      </c>
      <c r="F29" s="30" t="n">
        <v>0.001</v>
      </c>
      <c r="G29" s="11" t="s">
        <v>3</v>
      </c>
      <c r="H29" s="12" t="s">
        <v>4</v>
      </c>
      <c r="I29" s="12" t="s">
        <v>5</v>
      </c>
      <c r="J29" s="12" t="s">
        <v>6</v>
      </c>
      <c r="K29" s="12" t="s">
        <v>7</v>
      </c>
      <c r="L29" s="12" t="s">
        <v>8</v>
      </c>
      <c r="M29" s="12" t="s">
        <v>9</v>
      </c>
      <c r="N29" s="13" t="s">
        <v>10</v>
      </c>
    </row>
    <row r="30" customFormat="false" ht="15.75" hidden="false" customHeight="false" outlineLevel="0" collapsed="false">
      <c r="A30" s="1"/>
      <c r="B30" s="14"/>
      <c r="C30" s="15"/>
      <c r="D30" s="16"/>
      <c r="E30" s="16"/>
      <c r="F30" s="17"/>
      <c r="G30" s="18" t="s">
        <v>11</v>
      </c>
      <c r="H30" s="16" t="s">
        <v>12</v>
      </c>
      <c r="I30" s="16" t="s">
        <v>13</v>
      </c>
      <c r="J30" s="16" t="s">
        <v>14</v>
      </c>
      <c r="K30" s="16" t="s">
        <v>15</v>
      </c>
      <c r="L30" s="16" t="s">
        <v>16</v>
      </c>
      <c r="M30" s="16" t="s">
        <v>17</v>
      </c>
      <c r="N30" s="17" t="s">
        <v>18</v>
      </c>
    </row>
    <row r="31" customFormat="false" ht="15.75" hidden="false" customHeight="false" outlineLevel="0" collapsed="false">
      <c r="A31" s="1"/>
      <c r="B31" s="14"/>
      <c r="C31" s="15"/>
      <c r="D31" s="16"/>
      <c r="E31" s="16"/>
      <c r="F31" s="17"/>
      <c r="G31" s="18" t="s">
        <v>19</v>
      </c>
      <c r="H31" s="16" t="s">
        <v>20</v>
      </c>
      <c r="I31" s="16"/>
      <c r="J31" s="16"/>
      <c r="K31" s="16"/>
      <c r="L31" s="16"/>
      <c r="M31" s="16"/>
      <c r="N31" s="17"/>
    </row>
    <row r="32" customFormat="false" ht="15.75" hidden="false" customHeight="false" outlineLevel="0" collapsed="false">
      <c r="A32" s="1"/>
      <c r="B32" s="14"/>
      <c r="C32" s="15"/>
      <c r="D32" s="16"/>
      <c r="E32" s="16"/>
      <c r="F32" s="17"/>
      <c r="G32" s="18"/>
      <c r="H32" s="16"/>
      <c r="I32" s="16"/>
      <c r="J32" s="16"/>
      <c r="K32" s="16"/>
      <c r="L32" s="16"/>
      <c r="M32" s="16"/>
      <c r="N32" s="17"/>
    </row>
    <row r="33" customFormat="false" ht="15.75" hidden="false" customHeight="false" outlineLevel="0" collapsed="false">
      <c r="A33" s="1"/>
      <c r="B33" s="19"/>
      <c r="C33" s="20"/>
      <c r="D33" s="21"/>
      <c r="E33" s="21"/>
      <c r="F33" s="22"/>
      <c r="G33" s="23"/>
      <c r="H33" s="21"/>
      <c r="I33" s="21"/>
      <c r="J33" s="21"/>
      <c r="K33" s="21"/>
      <c r="L33" s="21"/>
      <c r="M33" s="21"/>
      <c r="N33" s="22"/>
    </row>
    <row r="34" customFormat="false" ht="15.75" hidden="false" customHeight="false" outlineLevel="0" collapsed="false">
      <c r="A34" s="1" t="n">
        <v>5</v>
      </c>
      <c r="B34" s="7" t="s">
        <v>2</v>
      </c>
      <c r="C34" s="8" t="n">
        <v>1</v>
      </c>
      <c r="D34" s="9" t="n">
        <v>0.1</v>
      </c>
      <c r="E34" s="9" t="n">
        <v>0.01</v>
      </c>
      <c r="F34" s="10" t="n">
        <v>0.001</v>
      </c>
      <c r="G34" s="11" t="s">
        <v>3</v>
      </c>
      <c r="H34" s="12" t="s">
        <v>4</v>
      </c>
      <c r="I34" s="12" t="s">
        <v>5</v>
      </c>
      <c r="J34" s="12" t="s">
        <v>6</v>
      </c>
      <c r="K34" s="12" t="s">
        <v>7</v>
      </c>
      <c r="L34" s="12" t="s">
        <v>8</v>
      </c>
      <c r="M34" s="12" t="s">
        <v>9</v>
      </c>
      <c r="N34" s="13" t="s">
        <v>10</v>
      </c>
    </row>
    <row r="35" customFormat="false" ht="15.75" hidden="false" customHeight="false" outlineLevel="0" collapsed="false">
      <c r="A35" s="1"/>
      <c r="B35" s="14"/>
      <c r="C35" s="15"/>
      <c r="D35" s="16"/>
      <c r="E35" s="16"/>
      <c r="F35" s="17"/>
      <c r="G35" s="18" t="s">
        <v>11</v>
      </c>
      <c r="H35" s="16" t="s">
        <v>12</v>
      </c>
      <c r="I35" s="16" t="s">
        <v>13</v>
      </c>
      <c r="J35" s="16" t="s">
        <v>14</v>
      </c>
      <c r="K35" s="16" t="s">
        <v>15</v>
      </c>
      <c r="L35" s="16" t="s">
        <v>16</v>
      </c>
      <c r="M35" s="16" t="s">
        <v>17</v>
      </c>
      <c r="N35" s="17" t="s">
        <v>18</v>
      </c>
    </row>
    <row r="36" customFormat="false" ht="15.75" hidden="false" customHeight="false" outlineLevel="0" collapsed="false">
      <c r="A36" s="1"/>
      <c r="B36" s="19"/>
      <c r="C36" s="20"/>
      <c r="D36" s="21"/>
      <c r="E36" s="21"/>
      <c r="F36" s="22"/>
      <c r="G36" s="23" t="s">
        <v>19</v>
      </c>
      <c r="H36" s="21" t="s">
        <v>20</v>
      </c>
      <c r="I36" s="21"/>
      <c r="J36" s="21"/>
      <c r="K36" s="21"/>
      <c r="L36" s="21"/>
      <c r="M36" s="21"/>
      <c r="N36" s="22"/>
    </row>
    <row r="37" customFormat="false" ht="15.75" hidden="false" customHeight="false" outlineLevel="0" collapsed="false">
      <c r="A37" s="1"/>
      <c r="B37" s="24" t="s">
        <v>21</v>
      </c>
      <c r="C37" s="28" t="n">
        <v>1</v>
      </c>
      <c r="D37" s="29" t="n">
        <v>0.1</v>
      </c>
      <c r="E37" s="29" t="n">
        <v>0.01</v>
      </c>
      <c r="F37" s="30" t="n">
        <v>0.001</v>
      </c>
      <c r="G37" s="11" t="s">
        <v>3</v>
      </c>
      <c r="H37" s="12" t="s">
        <v>4</v>
      </c>
      <c r="I37" s="12" t="s">
        <v>5</v>
      </c>
      <c r="J37" s="12" t="s">
        <v>6</v>
      </c>
      <c r="K37" s="12" t="s">
        <v>7</v>
      </c>
      <c r="L37" s="12" t="s">
        <v>8</v>
      </c>
      <c r="M37" s="12" t="s">
        <v>9</v>
      </c>
      <c r="N37" s="13" t="s">
        <v>10</v>
      </c>
    </row>
    <row r="38" customFormat="false" ht="15.75" hidden="false" customHeight="false" outlineLevel="0" collapsed="false">
      <c r="A38" s="1"/>
      <c r="B38" s="14"/>
      <c r="C38" s="15"/>
      <c r="D38" s="16"/>
      <c r="E38" s="16"/>
      <c r="F38" s="17"/>
      <c r="G38" s="18" t="s">
        <v>11</v>
      </c>
      <c r="H38" s="16" t="s">
        <v>12</v>
      </c>
      <c r="I38" s="16" t="s">
        <v>13</v>
      </c>
      <c r="J38" s="16" t="s">
        <v>14</v>
      </c>
      <c r="K38" s="16" t="s">
        <v>15</v>
      </c>
      <c r="L38" s="16" t="s">
        <v>16</v>
      </c>
      <c r="M38" s="16" t="s">
        <v>17</v>
      </c>
      <c r="N38" s="17" t="s">
        <v>18</v>
      </c>
    </row>
    <row r="39" customFormat="false" ht="15.75" hidden="false" customHeight="false" outlineLevel="0" collapsed="false">
      <c r="A39" s="1"/>
      <c r="B39" s="14"/>
      <c r="C39" s="15"/>
      <c r="D39" s="16"/>
      <c r="E39" s="16"/>
      <c r="F39" s="17"/>
      <c r="G39" s="18" t="s">
        <v>19</v>
      </c>
      <c r="H39" s="16" t="s">
        <v>20</v>
      </c>
      <c r="I39" s="16"/>
      <c r="J39" s="16"/>
      <c r="K39" s="16"/>
      <c r="L39" s="16"/>
      <c r="M39" s="16"/>
      <c r="N39" s="17"/>
    </row>
    <row r="40" customFormat="false" ht="15.75" hidden="false" customHeight="false" outlineLevel="0" collapsed="false">
      <c r="A40" s="1"/>
      <c r="B40" s="14"/>
      <c r="C40" s="15"/>
      <c r="D40" s="16"/>
      <c r="E40" s="16"/>
      <c r="F40" s="17"/>
      <c r="G40" s="18"/>
      <c r="H40" s="16"/>
      <c r="I40" s="16"/>
      <c r="J40" s="16"/>
      <c r="K40" s="16"/>
      <c r="L40" s="16"/>
      <c r="M40" s="16"/>
      <c r="N40" s="17"/>
    </row>
    <row r="41" customFormat="false" ht="15.75" hidden="false" customHeight="false" outlineLevel="0" collapsed="false">
      <c r="A41" s="1"/>
      <c r="B41" s="19"/>
      <c r="C41" s="20"/>
      <c r="D41" s="21"/>
      <c r="E41" s="21"/>
      <c r="F41" s="22"/>
      <c r="G41" s="23"/>
      <c r="H41" s="21"/>
      <c r="I41" s="21"/>
      <c r="J41" s="21"/>
      <c r="K41" s="21"/>
      <c r="L41" s="21"/>
      <c r="M41" s="21"/>
      <c r="N41" s="22"/>
    </row>
    <row r="42" customFormat="false" ht="15.75" hidden="false" customHeight="false" outlineLevel="0" collapsed="false">
      <c r="A42" s="1" t="n">
        <v>6</v>
      </c>
      <c r="B42" s="24" t="s">
        <v>2</v>
      </c>
      <c r="C42" s="8" t="n">
        <v>1</v>
      </c>
      <c r="D42" s="9" t="n">
        <v>0.1</v>
      </c>
      <c r="E42" s="9" t="n">
        <v>0.01</v>
      </c>
      <c r="F42" s="10" t="n">
        <v>0.001</v>
      </c>
      <c r="G42" s="11" t="s">
        <v>3</v>
      </c>
      <c r="H42" s="12" t="s">
        <v>4</v>
      </c>
      <c r="I42" s="12" t="s">
        <v>5</v>
      </c>
      <c r="J42" s="12" t="s">
        <v>6</v>
      </c>
      <c r="K42" s="12" t="s">
        <v>7</v>
      </c>
      <c r="L42" s="12" t="s">
        <v>8</v>
      </c>
      <c r="M42" s="12" t="s">
        <v>9</v>
      </c>
      <c r="N42" s="13" t="s">
        <v>10</v>
      </c>
    </row>
    <row r="43" customFormat="false" ht="15.75" hidden="false" customHeight="false" outlineLevel="0" collapsed="false">
      <c r="A43" s="1"/>
      <c r="B43" s="14"/>
      <c r="C43" s="15"/>
      <c r="D43" s="16"/>
      <c r="E43" s="16"/>
      <c r="F43" s="17"/>
      <c r="G43" s="18" t="s">
        <v>11</v>
      </c>
      <c r="H43" s="16" t="s">
        <v>12</v>
      </c>
      <c r="I43" s="16" t="s">
        <v>13</v>
      </c>
      <c r="J43" s="16" t="s">
        <v>14</v>
      </c>
      <c r="K43" s="16" t="s">
        <v>15</v>
      </c>
      <c r="L43" s="16" t="s">
        <v>16</v>
      </c>
      <c r="M43" s="16" t="s">
        <v>17</v>
      </c>
      <c r="N43" s="17" t="s">
        <v>18</v>
      </c>
    </row>
    <row r="44" customFormat="false" ht="15.75" hidden="false" customHeight="false" outlineLevel="0" collapsed="false">
      <c r="A44" s="1"/>
      <c r="B44" s="14"/>
      <c r="C44" s="15"/>
      <c r="D44" s="16"/>
      <c r="E44" s="16"/>
      <c r="F44" s="17"/>
      <c r="G44" s="23" t="s">
        <v>19</v>
      </c>
      <c r="H44" s="21" t="s">
        <v>20</v>
      </c>
      <c r="I44" s="21"/>
      <c r="J44" s="21"/>
      <c r="K44" s="21"/>
      <c r="L44" s="21"/>
      <c r="M44" s="21"/>
      <c r="N44" s="22"/>
    </row>
    <row r="45" customFormat="false" ht="15.75" hidden="false" customHeight="false" outlineLevel="0" collapsed="false">
      <c r="A45" s="1"/>
      <c r="B45" s="24" t="s">
        <v>21</v>
      </c>
      <c r="C45" s="28" t="n">
        <v>1</v>
      </c>
      <c r="D45" s="29" t="n">
        <v>0.1</v>
      </c>
      <c r="E45" s="29" t="n">
        <v>0.01</v>
      </c>
      <c r="F45" s="30" t="n">
        <v>0.001</v>
      </c>
      <c r="G45" s="11" t="s">
        <v>3</v>
      </c>
      <c r="H45" s="12" t="s">
        <v>4</v>
      </c>
      <c r="I45" s="12" t="s">
        <v>5</v>
      </c>
      <c r="J45" s="12" t="s">
        <v>6</v>
      </c>
      <c r="K45" s="12" t="s">
        <v>7</v>
      </c>
      <c r="L45" s="12" t="s">
        <v>8</v>
      </c>
      <c r="M45" s="12" t="s">
        <v>9</v>
      </c>
      <c r="N45" s="13" t="s">
        <v>10</v>
      </c>
    </row>
    <row r="46" customFormat="false" ht="15.75" hidden="false" customHeight="false" outlineLevel="0" collapsed="false">
      <c r="A46" s="1"/>
      <c r="B46" s="14"/>
      <c r="C46" s="15"/>
      <c r="D46" s="16"/>
      <c r="E46" s="16"/>
      <c r="F46" s="17"/>
      <c r="G46" s="18" t="s">
        <v>11</v>
      </c>
      <c r="H46" s="16" t="s">
        <v>12</v>
      </c>
      <c r="I46" s="16" t="s">
        <v>13</v>
      </c>
      <c r="J46" s="16" t="s">
        <v>14</v>
      </c>
      <c r="K46" s="16" t="s">
        <v>15</v>
      </c>
      <c r="L46" s="16" t="s">
        <v>16</v>
      </c>
      <c r="M46" s="16" t="s">
        <v>17</v>
      </c>
      <c r="N46" s="17" t="s">
        <v>18</v>
      </c>
    </row>
    <row r="47" customFormat="false" ht="15.75" hidden="false" customHeight="false" outlineLevel="0" collapsed="false">
      <c r="A47" s="1"/>
      <c r="B47" s="14"/>
      <c r="C47" s="15"/>
      <c r="D47" s="16"/>
      <c r="E47" s="16"/>
      <c r="F47" s="17"/>
      <c r="G47" s="18" t="s">
        <v>19</v>
      </c>
      <c r="H47" s="16" t="s">
        <v>20</v>
      </c>
      <c r="I47" s="16"/>
      <c r="J47" s="16"/>
      <c r="K47" s="16"/>
      <c r="L47" s="16"/>
      <c r="M47" s="16"/>
      <c r="N47" s="17"/>
    </row>
    <row r="48" customFormat="false" ht="15.75" hidden="false" customHeight="false" outlineLevel="0" collapsed="false">
      <c r="A48" s="1"/>
      <c r="B48" s="14"/>
      <c r="C48" s="15"/>
      <c r="D48" s="16"/>
      <c r="E48" s="16"/>
      <c r="F48" s="17"/>
      <c r="G48" s="18"/>
      <c r="H48" s="16"/>
      <c r="I48" s="16"/>
      <c r="J48" s="16"/>
      <c r="K48" s="16"/>
      <c r="L48" s="16"/>
      <c r="M48" s="16"/>
      <c r="N48" s="17"/>
    </row>
    <row r="49" customFormat="false" ht="15.75" hidden="false" customHeight="false" outlineLevel="0" collapsed="false">
      <c r="A49" s="1"/>
      <c r="B49" s="19"/>
      <c r="C49" s="20"/>
      <c r="D49" s="21"/>
      <c r="E49" s="21"/>
      <c r="F49" s="22"/>
      <c r="G49" s="23"/>
      <c r="H49" s="21"/>
      <c r="I49" s="21"/>
      <c r="J49" s="21"/>
      <c r="K49" s="21"/>
      <c r="L49" s="21"/>
      <c r="M49" s="21"/>
      <c r="N49" s="22"/>
    </row>
    <row r="50" customFormat="false" ht="15.75" hidden="false" customHeight="false" outlineLevel="0" collapsed="false">
      <c r="A50" s="1" t="n">
        <v>7</v>
      </c>
      <c r="B50" s="24" t="s">
        <v>2</v>
      </c>
      <c r="C50" s="8" t="n">
        <v>1</v>
      </c>
      <c r="D50" s="9" t="n">
        <v>0.1</v>
      </c>
      <c r="E50" s="9" t="n">
        <v>0.01</v>
      </c>
      <c r="F50" s="10" t="n">
        <v>0.001</v>
      </c>
      <c r="G50" s="11" t="s">
        <v>3</v>
      </c>
      <c r="H50" s="12" t="s">
        <v>4</v>
      </c>
      <c r="I50" s="12" t="s">
        <v>5</v>
      </c>
      <c r="J50" s="12" t="s">
        <v>6</v>
      </c>
      <c r="K50" s="12" t="s">
        <v>7</v>
      </c>
      <c r="L50" s="12" t="s">
        <v>8</v>
      </c>
      <c r="M50" s="12" t="s">
        <v>9</v>
      </c>
      <c r="N50" s="13" t="s">
        <v>10</v>
      </c>
    </row>
    <row r="51" customFormat="false" ht="15.75" hidden="false" customHeight="false" outlineLevel="0" collapsed="false">
      <c r="A51" s="1"/>
      <c r="B51" s="14"/>
      <c r="C51" s="15"/>
      <c r="D51" s="16"/>
      <c r="E51" s="16"/>
      <c r="F51" s="17"/>
      <c r="G51" s="18" t="s">
        <v>11</v>
      </c>
      <c r="H51" s="16" t="s">
        <v>12</v>
      </c>
      <c r="I51" s="16" t="s">
        <v>13</v>
      </c>
      <c r="J51" s="16" t="s">
        <v>14</v>
      </c>
      <c r="K51" s="16" t="s">
        <v>15</v>
      </c>
      <c r="L51" s="16" t="s">
        <v>16</v>
      </c>
      <c r="M51" s="16" t="s">
        <v>17</v>
      </c>
      <c r="N51" s="17" t="s">
        <v>18</v>
      </c>
    </row>
    <row r="52" customFormat="false" ht="15.75" hidden="false" customHeight="false" outlineLevel="0" collapsed="false">
      <c r="A52" s="1"/>
      <c r="B52" s="14"/>
      <c r="C52" s="15"/>
      <c r="D52" s="16"/>
      <c r="E52" s="16"/>
      <c r="F52" s="17"/>
      <c r="G52" s="23" t="s">
        <v>19</v>
      </c>
      <c r="H52" s="21" t="s">
        <v>20</v>
      </c>
      <c r="I52" s="21"/>
      <c r="J52" s="21"/>
      <c r="K52" s="21"/>
      <c r="L52" s="21"/>
      <c r="M52" s="21"/>
      <c r="N52" s="22"/>
    </row>
    <row r="53" customFormat="false" ht="15.75" hidden="false" customHeight="false" outlineLevel="0" collapsed="false">
      <c r="A53" s="1"/>
      <c r="B53" s="24" t="s">
        <v>21</v>
      </c>
      <c r="C53" s="28" t="n">
        <v>1</v>
      </c>
      <c r="D53" s="29" t="n">
        <v>0.1</v>
      </c>
      <c r="E53" s="29" t="n">
        <v>0.01</v>
      </c>
      <c r="F53" s="30" t="n">
        <v>0.001</v>
      </c>
      <c r="G53" s="11" t="s">
        <v>3</v>
      </c>
      <c r="H53" s="12" t="s">
        <v>4</v>
      </c>
      <c r="I53" s="12" t="s">
        <v>5</v>
      </c>
      <c r="J53" s="12" t="s">
        <v>6</v>
      </c>
      <c r="K53" s="12" t="s">
        <v>7</v>
      </c>
      <c r="L53" s="12" t="s">
        <v>8</v>
      </c>
      <c r="M53" s="12" t="s">
        <v>9</v>
      </c>
      <c r="N53" s="13" t="s">
        <v>10</v>
      </c>
    </row>
    <row r="54" customFormat="false" ht="15.75" hidden="false" customHeight="false" outlineLevel="0" collapsed="false">
      <c r="A54" s="1"/>
      <c r="B54" s="14"/>
      <c r="C54" s="15"/>
      <c r="D54" s="16"/>
      <c r="E54" s="16"/>
      <c r="F54" s="17"/>
      <c r="G54" s="18" t="s">
        <v>11</v>
      </c>
      <c r="H54" s="16" t="s">
        <v>12</v>
      </c>
      <c r="I54" s="16" t="s">
        <v>13</v>
      </c>
      <c r="J54" s="16" t="s">
        <v>14</v>
      </c>
      <c r="K54" s="16" t="s">
        <v>15</v>
      </c>
      <c r="L54" s="16" t="s">
        <v>16</v>
      </c>
      <c r="M54" s="16" t="s">
        <v>17</v>
      </c>
      <c r="N54" s="17" t="s">
        <v>18</v>
      </c>
    </row>
    <row r="55" customFormat="false" ht="15.75" hidden="false" customHeight="false" outlineLevel="0" collapsed="false">
      <c r="A55" s="1"/>
      <c r="B55" s="14"/>
      <c r="C55" s="15"/>
      <c r="D55" s="16"/>
      <c r="E55" s="16"/>
      <c r="F55" s="17"/>
      <c r="G55" s="18" t="s">
        <v>19</v>
      </c>
      <c r="H55" s="16" t="s">
        <v>20</v>
      </c>
      <c r="I55" s="16"/>
      <c r="J55" s="16"/>
      <c r="K55" s="16"/>
      <c r="L55" s="16"/>
      <c r="M55" s="16"/>
      <c r="N55" s="17"/>
    </row>
    <row r="56" customFormat="false" ht="15.75" hidden="false" customHeight="false" outlineLevel="0" collapsed="false">
      <c r="A56" s="1"/>
      <c r="B56" s="14"/>
      <c r="C56" s="15"/>
      <c r="D56" s="16"/>
      <c r="E56" s="16"/>
      <c r="F56" s="17"/>
      <c r="G56" s="18"/>
      <c r="H56" s="16"/>
      <c r="I56" s="16"/>
      <c r="J56" s="16"/>
      <c r="K56" s="16"/>
      <c r="L56" s="16"/>
      <c r="M56" s="16"/>
      <c r="N56" s="17"/>
    </row>
    <row r="57" customFormat="false" ht="15.75" hidden="false" customHeight="false" outlineLevel="0" collapsed="false">
      <c r="A57" s="1"/>
      <c r="B57" s="19"/>
      <c r="C57" s="20"/>
      <c r="D57" s="21"/>
      <c r="E57" s="21"/>
      <c r="F57" s="22"/>
      <c r="G57" s="23"/>
      <c r="H57" s="21"/>
      <c r="I57" s="21"/>
      <c r="J57" s="21"/>
      <c r="K57" s="21"/>
      <c r="L57" s="21"/>
      <c r="M57" s="21"/>
      <c r="N57" s="22"/>
    </row>
  </sheetData>
  <mergeCells count="7">
    <mergeCell ref="A2:A9"/>
    <mergeCell ref="A10:A17"/>
    <mergeCell ref="A18:A25"/>
    <mergeCell ref="A26:A33"/>
    <mergeCell ref="A34:A41"/>
    <mergeCell ref="A42:A49"/>
    <mergeCell ref="A50:A5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outlinePr summaryBelow="0"/>
    <pageSetUpPr fitToPage="false"/>
  </sheetPr>
  <dimension ref="A1:N5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0" width="7.93"/>
    <col collapsed="false" customWidth="true" hidden="false" outlineLevel="0" max="2" min="2" style="0" width="10.12"/>
    <col collapsed="false" customWidth="true" hidden="false" outlineLevel="0" max="3" min="3" style="0" width="9.21"/>
    <col collapsed="false" customWidth="true" hidden="false" outlineLevel="0" max="4" min="4" style="0" width="8.11"/>
    <col collapsed="false" customWidth="true" hidden="false" outlineLevel="0" max="6" min="5" style="0" width="7.02"/>
    <col collapsed="false" customWidth="true" hidden="false" outlineLevel="0" max="7" min="7" style="0" width="13.85"/>
    <col collapsed="false" customWidth="true" hidden="false" outlineLevel="0" max="12" min="8" style="0" width="12.76"/>
    <col collapsed="false" customWidth="true" hidden="false" outlineLevel="0" max="14" min="13" style="0" width="13.85"/>
  </cols>
  <sheetData>
    <row r="1" customFormat="false" ht="15.75" hidden="false" customHeight="false" outlineLevel="0" collapsed="false">
      <c r="A1" s="31" t="s">
        <v>0</v>
      </c>
      <c r="B1" s="32" t="s">
        <v>1</v>
      </c>
      <c r="C1" s="33"/>
      <c r="D1" s="34"/>
      <c r="E1" s="34"/>
      <c r="F1" s="35"/>
      <c r="G1" s="36"/>
      <c r="H1" s="34"/>
      <c r="I1" s="34"/>
      <c r="J1" s="34"/>
      <c r="K1" s="34"/>
      <c r="L1" s="34"/>
      <c r="M1" s="34"/>
      <c r="N1" s="35"/>
    </row>
    <row r="2" customFormat="false" ht="15.75" hidden="false" customHeight="false" outlineLevel="0" collapsed="false">
      <c r="A2" s="1" t="n">
        <v>1</v>
      </c>
      <c r="B2" s="37" t="s">
        <v>22</v>
      </c>
      <c r="C2" s="38" t="n">
        <v>1</v>
      </c>
      <c r="D2" s="39" t="n">
        <v>0.1</v>
      </c>
      <c r="E2" s="39" t="n">
        <v>0.01</v>
      </c>
      <c r="F2" s="40" t="n">
        <v>0.001</v>
      </c>
      <c r="G2" s="11" t="s">
        <v>3</v>
      </c>
      <c r="H2" s="12" t="s">
        <v>4</v>
      </c>
      <c r="I2" s="12" t="s">
        <v>5</v>
      </c>
      <c r="J2" s="12" t="s">
        <v>6</v>
      </c>
      <c r="K2" s="12" t="s">
        <v>7</v>
      </c>
      <c r="L2" s="12" t="s">
        <v>8</v>
      </c>
      <c r="M2" s="12" t="s">
        <v>9</v>
      </c>
      <c r="N2" s="13" t="s">
        <v>10</v>
      </c>
    </row>
    <row r="3" customFormat="false" ht="15.75" hidden="false" customHeight="false" outlineLevel="0" collapsed="false">
      <c r="A3" s="1"/>
      <c r="B3" s="41"/>
      <c r="C3" s="42"/>
      <c r="D3" s="43"/>
      <c r="E3" s="43"/>
      <c r="F3" s="44"/>
      <c r="G3" s="18" t="s">
        <v>11</v>
      </c>
      <c r="H3" s="16" t="s">
        <v>23</v>
      </c>
      <c r="I3" s="16" t="s">
        <v>24</v>
      </c>
      <c r="J3" s="16" t="s">
        <v>25</v>
      </c>
      <c r="K3" s="16" t="s">
        <v>26</v>
      </c>
      <c r="L3" s="16" t="s">
        <v>27</v>
      </c>
      <c r="M3" s="16" t="s">
        <v>28</v>
      </c>
      <c r="N3" s="17" t="s">
        <v>29</v>
      </c>
    </row>
    <row r="4" customFormat="false" ht="15.75" hidden="false" customHeight="false" outlineLevel="0" collapsed="false">
      <c r="A4" s="1"/>
      <c r="B4" s="45"/>
      <c r="C4" s="46"/>
      <c r="D4" s="47"/>
      <c r="E4" s="47"/>
      <c r="F4" s="48"/>
      <c r="G4" s="23" t="s">
        <v>30</v>
      </c>
      <c r="H4" s="21" t="s">
        <v>31</v>
      </c>
      <c r="I4" s="21"/>
      <c r="J4" s="21"/>
      <c r="K4" s="21"/>
      <c r="L4" s="21"/>
      <c r="M4" s="21"/>
      <c r="N4" s="22"/>
    </row>
    <row r="5" customFormat="false" ht="15.75" hidden="false" customHeight="false" outlineLevel="0" collapsed="false">
      <c r="A5" s="1"/>
      <c r="B5" s="49" t="s">
        <v>32</v>
      </c>
      <c r="C5" s="50" t="n">
        <v>1</v>
      </c>
      <c r="D5" s="51" t="n">
        <v>0.1</v>
      </c>
      <c r="E5" s="51" t="n">
        <v>0.01</v>
      </c>
      <c r="F5" s="52" t="n">
        <v>0.001</v>
      </c>
      <c r="G5" s="53" t="s">
        <v>3</v>
      </c>
      <c r="H5" s="54" t="s">
        <v>4</v>
      </c>
      <c r="I5" s="54" t="s">
        <v>5</v>
      </c>
      <c r="J5" s="54" t="s">
        <v>6</v>
      </c>
      <c r="K5" s="54" t="s">
        <v>7</v>
      </c>
      <c r="L5" s="54" t="s">
        <v>8</v>
      </c>
      <c r="M5" s="54" t="s">
        <v>9</v>
      </c>
      <c r="N5" s="55" t="s">
        <v>10</v>
      </c>
    </row>
    <row r="6" customFormat="false" ht="15.75" hidden="false" customHeight="false" outlineLevel="0" collapsed="false">
      <c r="A6" s="1"/>
      <c r="B6" s="41"/>
      <c r="C6" s="42"/>
      <c r="D6" s="43"/>
      <c r="E6" s="43"/>
      <c r="F6" s="44"/>
      <c r="G6" s="18" t="s">
        <v>11</v>
      </c>
      <c r="H6" s="16" t="s">
        <v>23</v>
      </c>
      <c r="I6" s="16" t="s">
        <v>24</v>
      </c>
      <c r="J6" s="16" t="s">
        <v>25</v>
      </c>
      <c r="K6" s="16" t="s">
        <v>26</v>
      </c>
      <c r="L6" s="16" t="s">
        <v>27</v>
      </c>
      <c r="M6" s="16" t="s">
        <v>28</v>
      </c>
      <c r="N6" s="17" t="s">
        <v>29</v>
      </c>
    </row>
    <row r="7" customFormat="false" ht="15.75" hidden="false" customHeight="false" outlineLevel="0" collapsed="false">
      <c r="A7" s="1"/>
      <c r="B7" s="41"/>
      <c r="C7" s="42"/>
      <c r="D7" s="43"/>
      <c r="E7" s="43"/>
      <c r="F7" s="44"/>
      <c r="G7" s="18" t="s">
        <v>30</v>
      </c>
      <c r="H7" s="16" t="s">
        <v>31</v>
      </c>
      <c r="I7" s="16"/>
      <c r="J7" s="16"/>
      <c r="K7" s="16"/>
      <c r="L7" s="16"/>
      <c r="M7" s="16"/>
      <c r="N7" s="17"/>
    </row>
    <row r="8" customFormat="false" ht="15.75" hidden="false" customHeight="false" outlineLevel="0" collapsed="false">
      <c r="A8" s="1"/>
      <c r="B8" s="41"/>
      <c r="C8" s="42"/>
      <c r="D8" s="43"/>
      <c r="E8" s="43"/>
      <c r="F8" s="44"/>
      <c r="G8" s="18"/>
      <c r="H8" s="16"/>
      <c r="I8" s="16"/>
      <c r="J8" s="16"/>
      <c r="K8" s="16"/>
      <c r="L8" s="16"/>
      <c r="M8" s="16"/>
      <c r="N8" s="17"/>
    </row>
    <row r="9" customFormat="false" ht="15.75" hidden="false" customHeight="false" outlineLevel="0" collapsed="false">
      <c r="A9" s="1"/>
      <c r="B9" s="45"/>
      <c r="C9" s="46"/>
      <c r="D9" s="47"/>
      <c r="E9" s="47"/>
      <c r="F9" s="48"/>
      <c r="G9" s="23"/>
      <c r="H9" s="21"/>
      <c r="I9" s="21"/>
      <c r="J9" s="21"/>
      <c r="K9" s="21"/>
      <c r="L9" s="21"/>
      <c r="M9" s="21"/>
      <c r="N9" s="22"/>
    </row>
    <row r="10" customFormat="false" ht="15.75" hidden="false" customHeight="false" outlineLevel="0" collapsed="false">
      <c r="A10" s="1" t="n">
        <v>2</v>
      </c>
      <c r="B10" s="37" t="s">
        <v>33</v>
      </c>
      <c r="C10" s="38" t="n">
        <v>1</v>
      </c>
      <c r="D10" s="39" t="n">
        <v>0.1</v>
      </c>
      <c r="E10" s="39" t="n">
        <v>0.01</v>
      </c>
      <c r="F10" s="40" t="n">
        <v>0.001</v>
      </c>
      <c r="G10" s="11" t="s">
        <v>3</v>
      </c>
      <c r="H10" s="12" t="s">
        <v>4</v>
      </c>
      <c r="I10" s="12" t="s">
        <v>5</v>
      </c>
      <c r="J10" s="12" t="s">
        <v>6</v>
      </c>
      <c r="K10" s="12" t="s">
        <v>7</v>
      </c>
      <c r="L10" s="12" t="s">
        <v>8</v>
      </c>
      <c r="M10" s="12" t="s">
        <v>9</v>
      </c>
      <c r="N10" s="13" t="s">
        <v>10</v>
      </c>
    </row>
    <row r="11" customFormat="false" ht="15.75" hidden="false" customHeight="false" outlineLevel="0" collapsed="false">
      <c r="A11" s="1"/>
      <c r="B11" s="41"/>
      <c r="C11" s="42"/>
      <c r="D11" s="43"/>
      <c r="E11" s="43"/>
      <c r="F11" s="44"/>
      <c r="G11" s="18" t="s">
        <v>11</v>
      </c>
      <c r="H11" s="16" t="s">
        <v>23</v>
      </c>
      <c r="I11" s="16" t="s">
        <v>24</v>
      </c>
      <c r="J11" s="16" t="s">
        <v>25</v>
      </c>
      <c r="K11" s="16" t="s">
        <v>26</v>
      </c>
      <c r="L11" s="16" t="s">
        <v>27</v>
      </c>
      <c r="M11" s="16" t="s">
        <v>28</v>
      </c>
      <c r="N11" s="17" t="s">
        <v>29</v>
      </c>
    </row>
    <row r="12" customFormat="false" ht="15.75" hidden="false" customHeight="false" outlineLevel="0" collapsed="false">
      <c r="A12" s="1"/>
      <c r="B12" s="45"/>
      <c r="C12" s="46"/>
      <c r="D12" s="47"/>
      <c r="E12" s="47"/>
      <c r="F12" s="48"/>
      <c r="G12" s="23" t="s">
        <v>30</v>
      </c>
      <c r="H12" s="21" t="s">
        <v>31</v>
      </c>
      <c r="I12" s="21"/>
      <c r="J12" s="21"/>
      <c r="K12" s="21"/>
      <c r="L12" s="21"/>
      <c r="M12" s="21"/>
      <c r="N12" s="22"/>
    </row>
    <row r="13" customFormat="false" ht="15.75" hidden="false" customHeight="false" outlineLevel="0" collapsed="false">
      <c r="A13" s="1"/>
      <c r="B13" s="41" t="s">
        <v>34</v>
      </c>
      <c r="C13" s="56" t="n">
        <v>1</v>
      </c>
      <c r="D13" s="57" t="n">
        <v>0.1</v>
      </c>
      <c r="E13" s="57" t="n">
        <v>0.01</v>
      </c>
      <c r="F13" s="58" t="n">
        <v>0.001</v>
      </c>
      <c r="G13" s="18" t="s">
        <v>3</v>
      </c>
      <c r="H13" s="16" t="s">
        <v>4</v>
      </c>
      <c r="I13" s="16" t="s">
        <v>5</v>
      </c>
      <c r="J13" s="16" t="s">
        <v>6</v>
      </c>
      <c r="K13" s="16" t="s">
        <v>7</v>
      </c>
      <c r="L13" s="16" t="s">
        <v>8</v>
      </c>
      <c r="M13" s="16" t="s">
        <v>9</v>
      </c>
      <c r="N13" s="17" t="s">
        <v>10</v>
      </c>
    </row>
    <row r="14" customFormat="false" ht="15.75" hidden="false" customHeight="false" outlineLevel="0" collapsed="false">
      <c r="A14" s="1"/>
      <c r="B14" s="41"/>
      <c r="C14" s="42"/>
      <c r="D14" s="43"/>
      <c r="E14" s="43"/>
      <c r="F14" s="44"/>
      <c r="G14" s="18" t="s">
        <v>11</v>
      </c>
      <c r="H14" s="16" t="s">
        <v>23</v>
      </c>
      <c r="I14" s="16" t="s">
        <v>24</v>
      </c>
      <c r="J14" s="16" t="s">
        <v>25</v>
      </c>
      <c r="K14" s="16" t="s">
        <v>26</v>
      </c>
      <c r="L14" s="16" t="s">
        <v>27</v>
      </c>
      <c r="M14" s="16" t="s">
        <v>28</v>
      </c>
      <c r="N14" s="17" t="s">
        <v>29</v>
      </c>
    </row>
    <row r="15" customFormat="false" ht="15.75" hidden="false" customHeight="false" outlineLevel="0" collapsed="false">
      <c r="A15" s="1"/>
      <c r="B15" s="41"/>
      <c r="C15" s="42"/>
      <c r="D15" s="43"/>
      <c r="E15" s="43"/>
      <c r="F15" s="44"/>
      <c r="G15" s="18" t="s">
        <v>30</v>
      </c>
      <c r="H15" s="16" t="s">
        <v>31</v>
      </c>
      <c r="I15" s="16"/>
      <c r="J15" s="16"/>
      <c r="K15" s="16"/>
      <c r="L15" s="16"/>
      <c r="M15" s="16"/>
      <c r="N15" s="17"/>
    </row>
    <row r="16" customFormat="false" ht="15.75" hidden="false" customHeight="false" outlineLevel="0" collapsed="false">
      <c r="A16" s="1"/>
      <c r="B16" s="41"/>
      <c r="C16" s="42"/>
      <c r="D16" s="43"/>
      <c r="E16" s="43"/>
      <c r="F16" s="44"/>
      <c r="G16" s="18"/>
      <c r="H16" s="16"/>
      <c r="I16" s="16"/>
      <c r="J16" s="16"/>
      <c r="K16" s="16"/>
      <c r="L16" s="16"/>
      <c r="M16" s="16"/>
      <c r="N16" s="17"/>
    </row>
    <row r="17" customFormat="false" ht="15.75" hidden="false" customHeight="false" outlineLevel="0" collapsed="false">
      <c r="A17" s="1"/>
      <c r="B17" s="45"/>
      <c r="C17" s="46"/>
      <c r="D17" s="47"/>
      <c r="E17" s="47"/>
      <c r="F17" s="48"/>
      <c r="G17" s="23"/>
      <c r="H17" s="21"/>
      <c r="I17" s="21"/>
      <c r="J17" s="21"/>
      <c r="K17" s="21"/>
      <c r="L17" s="21"/>
      <c r="M17" s="21"/>
      <c r="N17" s="22"/>
    </row>
    <row r="18" customFormat="false" ht="15.75" hidden="false" customHeight="false" outlineLevel="0" collapsed="false">
      <c r="A18" s="1" t="n">
        <v>3</v>
      </c>
      <c r="B18" s="37" t="s">
        <v>35</v>
      </c>
      <c r="C18" s="38" t="n">
        <v>1</v>
      </c>
      <c r="D18" s="39" t="n">
        <v>0.1</v>
      </c>
      <c r="E18" s="39" t="n">
        <v>0.01</v>
      </c>
      <c r="F18" s="40" t="n">
        <v>0.001</v>
      </c>
      <c r="G18" s="11" t="s">
        <v>3</v>
      </c>
      <c r="H18" s="12" t="s">
        <v>4</v>
      </c>
      <c r="I18" s="12" t="s">
        <v>5</v>
      </c>
      <c r="J18" s="12" t="s">
        <v>6</v>
      </c>
      <c r="K18" s="12" t="s">
        <v>7</v>
      </c>
      <c r="L18" s="12" t="s">
        <v>8</v>
      </c>
      <c r="M18" s="12" t="s">
        <v>9</v>
      </c>
      <c r="N18" s="13" t="s">
        <v>10</v>
      </c>
    </row>
    <row r="19" customFormat="false" ht="15.75" hidden="false" customHeight="false" outlineLevel="0" collapsed="false">
      <c r="A19" s="1"/>
      <c r="B19" s="41"/>
      <c r="C19" s="42"/>
      <c r="D19" s="43"/>
      <c r="E19" s="43"/>
      <c r="F19" s="44"/>
      <c r="G19" s="18" t="s">
        <v>11</v>
      </c>
      <c r="H19" s="16" t="s">
        <v>23</v>
      </c>
      <c r="I19" s="16" t="s">
        <v>24</v>
      </c>
      <c r="J19" s="16" t="s">
        <v>25</v>
      </c>
      <c r="K19" s="16" t="s">
        <v>26</v>
      </c>
      <c r="L19" s="16" t="s">
        <v>27</v>
      </c>
      <c r="M19" s="16" t="s">
        <v>28</v>
      </c>
      <c r="N19" s="17" t="s">
        <v>29</v>
      </c>
    </row>
    <row r="20" customFormat="false" ht="15.75" hidden="false" customHeight="false" outlineLevel="0" collapsed="false">
      <c r="A20" s="1"/>
      <c r="B20" s="45"/>
      <c r="C20" s="46"/>
      <c r="D20" s="47"/>
      <c r="E20" s="47"/>
      <c r="F20" s="48"/>
      <c r="G20" s="23" t="s">
        <v>30</v>
      </c>
      <c r="H20" s="21" t="s">
        <v>31</v>
      </c>
      <c r="I20" s="21"/>
      <c r="J20" s="21"/>
      <c r="K20" s="21"/>
      <c r="L20" s="21"/>
      <c r="M20" s="21"/>
      <c r="N20" s="22"/>
    </row>
    <row r="21" customFormat="false" ht="15.75" hidden="false" customHeight="false" outlineLevel="0" collapsed="false">
      <c r="A21" s="1"/>
      <c r="B21" s="49" t="s">
        <v>36</v>
      </c>
      <c r="C21" s="50" t="n">
        <v>1</v>
      </c>
      <c r="D21" s="51" t="n">
        <v>0.1</v>
      </c>
      <c r="E21" s="51" t="n">
        <v>0.01</v>
      </c>
      <c r="F21" s="52" t="n">
        <v>0.001</v>
      </c>
      <c r="G21" s="53" t="s">
        <v>3</v>
      </c>
      <c r="H21" s="54" t="s">
        <v>4</v>
      </c>
      <c r="I21" s="54" t="s">
        <v>5</v>
      </c>
      <c r="J21" s="54" t="s">
        <v>6</v>
      </c>
      <c r="K21" s="54" t="s">
        <v>7</v>
      </c>
      <c r="L21" s="54" t="s">
        <v>8</v>
      </c>
      <c r="M21" s="54" t="s">
        <v>9</v>
      </c>
      <c r="N21" s="55" t="s">
        <v>10</v>
      </c>
    </row>
    <row r="22" customFormat="false" ht="15.75" hidden="false" customHeight="false" outlineLevel="0" collapsed="false">
      <c r="A22" s="1"/>
      <c r="B22" s="41"/>
      <c r="C22" s="42"/>
      <c r="D22" s="43"/>
      <c r="E22" s="43"/>
      <c r="F22" s="44"/>
      <c r="G22" s="18" t="s">
        <v>11</v>
      </c>
      <c r="H22" s="16" t="s">
        <v>23</v>
      </c>
      <c r="I22" s="16" t="s">
        <v>24</v>
      </c>
      <c r="J22" s="16" t="s">
        <v>25</v>
      </c>
      <c r="K22" s="16" t="s">
        <v>26</v>
      </c>
      <c r="L22" s="16" t="s">
        <v>27</v>
      </c>
      <c r="M22" s="16" t="s">
        <v>28</v>
      </c>
      <c r="N22" s="17" t="s">
        <v>29</v>
      </c>
    </row>
    <row r="23" customFormat="false" ht="15.75" hidden="false" customHeight="false" outlineLevel="0" collapsed="false">
      <c r="A23" s="1"/>
      <c r="B23" s="41"/>
      <c r="C23" s="42"/>
      <c r="D23" s="43"/>
      <c r="E23" s="43"/>
      <c r="F23" s="44"/>
      <c r="G23" s="18" t="s">
        <v>30</v>
      </c>
      <c r="H23" s="16" t="s">
        <v>31</v>
      </c>
      <c r="I23" s="16"/>
      <c r="J23" s="16"/>
      <c r="K23" s="16"/>
      <c r="L23" s="16"/>
      <c r="M23" s="16"/>
      <c r="N23" s="17"/>
    </row>
    <row r="24" customFormat="false" ht="15.75" hidden="false" customHeight="false" outlineLevel="0" collapsed="false">
      <c r="A24" s="1"/>
      <c r="B24" s="41"/>
      <c r="C24" s="42"/>
      <c r="D24" s="43"/>
      <c r="E24" s="43"/>
      <c r="F24" s="44"/>
      <c r="G24" s="18"/>
      <c r="H24" s="16"/>
      <c r="I24" s="16"/>
      <c r="J24" s="16"/>
      <c r="K24" s="16"/>
      <c r="L24" s="16"/>
      <c r="M24" s="16"/>
      <c r="N24" s="17"/>
    </row>
    <row r="25" customFormat="false" ht="15.75" hidden="false" customHeight="false" outlineLevel="0" collapsed="false">
      <c r="A25" s="1"/>
      <c r="B25" s="45"/>
      <c r="C25" s="46"/>
      <c r="D25" s="47"/>
      <c r="E25" s="47"/>
      <c r="F25" s="48"/>
      <c r="G25" s="23"/>
      <c r="H25" s="21"/>
      <c r="I25" s="21"/>
      <c r="J25" s="21"/>
      <c r="K25" s="21"/>
      <c r="L25" s="21"/>
      <c r="M25" s="21"/>
      <c r="N25" s="22"/>
    </row>
    <row r="26" customFormat="false" ht="15.75" hidden="false" customHeight="false" outlineLevel="0" collapsed="false">
      <c r="A26" s="1" t="n">
        <v>4</v>
      </c>
      <c r="B26" s="37" t="s">
        <v>37</v>
      </c>
      <c r="C26" s="38" t="n">
        <v>1</v>
      </c>
      <c r="D26" s="39" t="n">
        <v>0.1</v>
      </c>
      <c r="E26" s="39" t="n">
        <v>0.01</v>
      </c>
      <c r="F26" s="40" t="n">
        <v>0.001</v>
      </c>
      <c r="G26" s="11" t="s">
        <v>3</v>
      </c>
      <c r="H26" s="12" t="s">
        <v>4</v>
      </c>
      <c r="I26" s="12" t="s">
        <v>5</v>
      </c>
      <c r="J26" s="12" t="s">
        <v>6</v>
      </c>
      <c r="K26" s="12" t="s">
        <v>7</v>
      </c>
      <c r="L26" s="12" t="s">
        <v>8</v>
      </c>
      <c r="M26" s="12" t="s">
        <v>9</v>
      </c>
      <c r="N26" s="13" t="s">
        <v>10</v>
      </c>
    </row>
    <row r="27" customFormat="false" ht="15.75" hidden="false" customHeight="false" outlineLevel="0" collapsed="false">
      <c r="A27" s="1"/>
      <c r="B27" s="41"/>
      <c r="C27" s="42"/>
      <c r="D27" s="43"/>
      <c r="E27" s="43"/>
      <c r="F27" s="44"/>
      <c r="G27" s="18" t="s">
        <v>11</v>
      </c>
      <c r="H27" s="16" t="s">
        <v>23</v>
      </c>
      <c r="I27" s="16" t="s">
        <v>24</v>
      </c>
      <c r="J27" s="16" t="s">
        <v>25</v>
      </c>
      <c r="K27" s="16" t="s">
        <v>26</v>
      </c>
      <c r="L27" s="16" t="s">
        <v>27</v>
      </c>
      <c r="M27" s="16" t="s">
        <v>28</v>
      </c>
      <c r="N27" s="17" t="s">
        <v>29</v>
      </c>
    </row>
    <row r="28" customFormat="false" ht="15.75" hidden="false" customHeight="false" outlineLevel="0" collapsed="false">
      <c r="A28" s="1"/>
      <c r="B28" s="45"/>
      <c r="C28" s="46"/>
      <c r="D28" s="47"/>
      <c r="E28" s="47"/>
      <c r="F28" s="48"/>
      <c r="G28" s="23" t="s">
        <v>30</v>
      </c>
      <c r="H28" s="21" t="s">
        <v>31</v>
      </c>
      <c r="I28" s="21"/>
      <c r="J28" s="21"/>
      <c r="K28" s="21"/>
      <c r="L28" s="21"/>
      <c r="M28" s="21"/>
      <c r="N28" s="22"/>
    </row>
    <row r="29" customFormat="false" ht="15.75" hidden="false" customHeight="false" outlineLevel="0" collapsed="false">
      <c r="A29" s="1"/>
      <c r="B29" s="49" t="s">
        <v>38</v>
      </c>
      <c r="C29" s="50" t="n">
        <v>1</v>
      </c>
      <c r="D29" s="51" t="n">
        <v>0.1</v>
      </c>
      <c r="E29" s="51" t="n">
        <v>0.01</v>
      </c>
      <c r="F29" s="52" t="n">
        <v>0.001</v>
      </c>
      <c r="G29" s="53" t="s">
        <v>3</v>
      </c>
      <c r="H29" s="54" t="s">
        <v>4</v>
      </c>
      <c r="I29" s="54" t="s">
        <v>5</v>
      </c>
      <c r="J29" s="54" t="s">
        <v>6</v>
      </c>
      <c r="K29" s="54" t="s">
        <v>7</v>
      </c>
      <c r="L29" s="54" t="s">
        <v>8</v>
      </c>
      <c r="M29" s="54" t="s">
        <v>9</v>
      </c>
      <c r="N29" s="55" t="s">
        <v>10</v>
      </c>
    </row>
    <row r="30" customFormat="false" ht="15.75" hidden="false" customHeight="false" outlineLevel="0" collapsed="false">
      <c r="A30" s="1"/>
      <c r="B30" s="41"/>
      <c r="C30" s="42"/>
      <c r="D30" s="43"/>
      <c r="E30" s="43"/>
      <c r="F30" s="44"/>
      <c r="G30" s="18" t="s">
        <v>11</v>
      </c>
      <c r="H30" s="16" t="s">
        <v>23</v>
      </c>
      <c r="I30" s="16" t="s">
        <v>24</v>
      </c>
      <c r="J30" s="16" t="s">
        <v>25</v>
      </c>
      <c r="K30" s="16" t="s">
        <v>26</v>
      </c>
      <c r="L30" s="16" t="s">
        <v>27</v>
      </c>
      <c r="M30" s="16" t="s">
        <v>28</v>
      </c>
      <c r="N30" s="17" t="s">
        <v>29</v>
      </c>
    </row>
    <row r="31" customFormat="false" ht="15.75" hidden="false" customHeight="false" outlineLevel="0" collapsed="false">
      <c r="A31" s="1"/>
      <c r="B31" s="41"/>
      <c r="C31" s="42"/>
      <c r="D31" s="43"/>
      <c r="E31" s="43"/>
      <c r="F31" s="44"/>
      <c r="G31" s="18" t="s">
        <v>30</v>
      </c>
      <c r="H31" s="16" t="s">
        <v>31</v>
      </c>
      <c r="I31" s="16"/>
      <c r="J31" s="16"/>
      <c r="K31" s="16"/>
      <c r="L31" s="16"/>
      <c r="M31" s="16"/>
      <c r="N31" s="17"/>
    </row>
    <row r="32" customFormat="false" ht="15.75" hidden="false" customHeight="false" outlineLevel="0" collapsed="false">
      <c r="A32" s="1"/>
      <c r="B32" s="41"/>
      <c r="C32" s="42"/>
      <c r="D32" s="43"/>
      <c r="E32" s="43"/>
      <c r="F32" s="44"/>
      <c r="G32" s="18"/>
      <c r="H32" s="16"/>
      <c r="I32" s="16"/>
      <c r="J32" s="16"/>
      <c r="K32" s="16"/>
      <c r="L32" s="16"/>
      <c r="M32" s="16"/>
      <c r="N32" s="17"/>
    </row>
    <row r="33" customFormat="false" ht="15.75" hidden="false" customHeight="false" outlineLevel="0" collapsed="false">
      <c r="A33" s="1"/>
      <c r="B33" s="45"/>
      <c r="C33" s="46"/>
      <c r="D33" s="47"/>
      <c r="E33" s="47"/>
      <c r="F33" s="48"/>
      <c r="G33" s="23"/>
      <c r="H33" s="21"/>
      <c r="I33" s="21"/>
      <c r="J33" s="21"/>
      <c r="K33" s="21"/>
      <c r="L33" s="21"/>
      <c r="M33" s="21"/>
      <c r="N33" s="22"/>
    </row>
    <row r="34" customFormat="false" ht="15.75" hidden="false" customHeight="false" outlineLevel="0" collapsed="false">
      <c r="A34" s="1" t="n">
        <v>5</v>
      </c>
      <c r="B34" s="37" t="s">
        <v>39</v>
      </c>
      <c r="C34" s="38" t="n">
        <v>1</v>
      </c>
      <c r="D34" s="39" t="n">
        <v>0.1</v>
      </c>
      <c r="E34" s="39" t="n">
        <v>0.01</v>
      </c>
      <c r="F34" s="40" t="n">
        <v>0.001</v>
      </c>
      <c r="G34" s="11" t="s">
        <v>3</v>
      </c>
      <c r="H34" s="12" t="s">
        <v>4</v>
      </c>
      <c r="I34" s="12" t="s">
        <v>5</v>
      </c>
      <c r="J34" s="12" t="s">
        <v>6</v>
      </c>
      <c r="K34" s="12" t="s">
        <v>7</v>
      </c>
      <c r="L34" s="12" t="s">
        <v>8</v>
      </c>
      <c r="M34" s="12" t="s">
        <v>9</v>
      </c>
      <c r="N34" s="13" t="s">
        <v>10</v>
      </c>
    </row>
    <row r="35" customFormat="false" ht="15.75" hidden="false" customHeight="false" outlineLevel="0" collapsed="false">
      <c r="A35" s="1"/>
      <c r="B35" s="41"/>
      <c r="C35" s="42"/>
      <c r="D35" s="43"/>
      <c r="E35" s="43"/>
      <c r="F35" s="44"/>
      <c r="G35" s="18" t="s">
        <v>11</v>
      </c>
      <c r="H35" s="16" t="s">
        <v>23</v>
      </c>
      <c r="I35" s="16" t="s">
        <v>24</v>
      </c>
      <c r="J35" s="16" t="s">
        <v>25</v>
      </c>
      <c r="K35" s="16" t="s">
        <v>26</v>
      </c>
      <c r="L35" s="16" t="s">
        <v>27</v>
      </c>
      <c r="M35" s="16" t="s">
        <v>28</v>
      </c>
      <c r="N35" s="17" t="s">
        <v>29</v>
      </c>
    </row>
    <row r="36" customFormat="false" ht="15.75" hidden="false" customHeight="false" outlineLevel="0" collapsed="false">
      <c r="A36" s="1"/>
      <c r="B36" s="45"/>
      <c r="C36" s="46"/>
      <c r="D36" s="47"/>
      <c r="E36" s="47"/>
      <c r="F36" s="48"/>
      <c r="G36" s="23" t="s">
        <v>30</v>
      </c>
      <c r="H36" s="21" t="s">
        <v>31</v>
      </c>
      <c r="I36" s="21"/>
      <c r="J36" s="21"/>
      <c r="K36" s="21"/>
      <c r="L36" s="21"/>
      <c r="M36" s="21"/>
      <c r="N36" s="22"/>
    </row>
    <row r="37" customFormat="false" ht="15.75" hidden="false" customHeight="false" outlineLevel="0" collapsed="false">
      <c r="A37" s="1"/>
      <c r="B37" s="49" t="s">
        <v>40</v>
      </c>
      <c r="C37" s="50" t="n">
        <v>1</v>
      </c>
      <c r="D37" s="51" t="n">
        <v>0.1</v>
      </c>
      <c r="E37" s="51" t="n">
        <v>0.01</v>
      </c>
      <c r="F37" s="52" t="n">
        <v>0.001</v>
      </c>
      <c r="G37" s="53" t="s">
        <v>3</v>
      </c>
      <c r="H37" s="54" t="s">
        <v>4</v>
      </c>
      <c r="I37" s="54" t="s">
        <v>5</v>
      </c>
      <c r="J37" s="54" t="s">
        <v>6</v>
      </c>
      <c r="K37" s="54" t="s">
        <v>7</v>
      </c>
      <c r="L37" s="54" t="s">
        <v>8</v>
      </c>
      <c r="M37" s="54" t="s">
        <v>9</v>
      </c>
      <c r="N37" s="55" t="s">
        <v>10</v>
      </c>
    </row>
    <row r="38" customFormat="false" ht="15.75" hidden="false" customHeight="false" outlineLevel="0" collapsed="false">
      <c r="A38" s="1"/>
      <c r="B38" s="41"/>
      <c r="C38" s="42"/>
      <c r="D38" s="43"/>
      <c r="E38" s="43"/>
      <c r="F38" s="44"/>
      <c r="G38" s="18" t="s">
        <v>11</v>
      </c>
      <c r="H38" s="16" t="s">
        <v>23</v>
      </c>
      <c r="I38" s="16" t="s">
        <v>24</v>
      </c>
      <c r="J38" s="16" t="s">
        <v>25</v>
      </c>
      <c r="K38" s="16" t="s">
        <v>26</v>
      </c>
      <c r="L38" s="16" t="s">
        <v>27</v>
      </c>
      <c r="M38" s="16" t="s">
        <v>28</v>
      </c>
      <c r="N38" s="17" t="s">
        <v>29</v>
      </c>
    </row>
    <row r="39" customFormat="false" ht="15.75" hidden="false" customHeight="false" outlineLevel="0" collapsed="false">
      <c r="A39" s="1"/>
      <c r="B39" s="41"/>
      <c r="C39" s="42"/>
      <c r="D39" s="43"/>
      <c r="E39" s="43"/>
      <c r="F39" s="44"/>
      <c r="G39" s="18" t="s">
        <v>30</v>
      </c>
      <c r="H39" s="16" t="s">
        <v>31</v>
      </c>
      <c r="I39" s="16"/>
      <c r="J39" s="16"/>
      <c r="K39" s="16"/>
      <c r="L39" s="16"/>
      <c r="M39" s="16"/>
      <c r="N39" s="17"/>
    </row>
    <row r="40" customFormat="false" ht="15.75" hidden="false" customHeight="false" outlineLevel="0" collapsed="false">
      <c r="A40" s="1"/>
      <c r="B40" s="41"/>
      <c r="C40" s="42"/>
      <c r="D40" s="43"/>
      <c r="E40" s="43"/>
      <c r="F40" s="44"/>
      <c r="G40" s="18"/>
      <c r="H40" s="16"/>
      <c r="I40" s="16"/>
      <c r="J40" s="16"/>
      <c r="K40" s="16"/>
      <c r="L40" s="16"/>
      <c r="M40" s="16"/>
      <c r="N40" s="17"/>
    </row>
    <row r="41" customFormat="false" ht="15.75" hidden="false" customHeight="false" outlineLevel="0" collapsed="false">
      <c r="A41" s="1"/>
      <c r="B41" s="45"/>
      <c r="C41" s="46"/>
      <c r="D41" s="47"/>
      <c r="E41" s="47"/>
      <c r="F41" s="48"/>
      <c r="G41" s="23"/>
      <c r="H41" s="21"/>
      <c r="I41" s="21"/>
      <c r="J41" s="21"/>
      <c r="K41" s="21"/>
      <c r="L41" s="21"/>
      <c r="M41" s="21"/>
      <c r="N41" s="22"/>
    </row>
    <row r="42" customFormat="false" ht="15.75" hidden="false" customHeight="false" outlineLevel="0" collapsed="false">
      <c r="A42" s="1" t="n">
        <v>6</v>
      </c>
      <c r="B42" s="37" t="s">
        <v>41</v>
      </c>
      <c r="C42" s="38" t="n">
        <v>1</v>
      </c>
      <c r="D42" s="39" t="n">
        <v>0.1</v>
      </c>
      <c r="E42" s="39" t="n">
        <v>0.01</v>
      </c>
      <c r="F42" s="40" t="n">
        <v>0.001</v>
      </c>
      <c r="G42" s="11" t="s">
        <v>3</v>
      </c>
      <c r="H42" s="12" t="s">
        <v>4</v>
      </c>
      <c r="I42" s="12" t="s">
        <v>5</v>
      </c>
      <c r="J42" s="12" t="s">
        <v>6</v>
      </c>
      <c r="K42" s="12" t="s">
        <v>7</v>
      </c>
      <c r="L42" s="12" t="s">
        <v>8</v>
      </c>
      <c r="M42" s="12" t="s">
        <v>9</v>
      </c>
      <c r="N42" s="13" t="s">
        <v>10</v>
      </c>
    </row>
    <row r="43" customFormat="false" ht="15.75" hidden="false" customHeight="false" outlineLevel="0" collapsed="false">
      <c r="A43" s="1"/>
      <c r="B43" s="41"/>
      <c r="C43" s="42"/>
      <c r="D43" s="43"/>
      <c r="E43" s="43"/>
      <c r="F43" s="44"/>
      <c r="G43" s="18" t="s">
        <v>11</v>
      </c>
      <c r="H43" s="16" t="s">
        <v>23</v>
      </c>
      <c r="I43" s="16" t="s">
        <v>24</v>
      </c>
      <c r="J43" s="16" t="s">
        <v>25</v>
      </c>
      <c r="K43" s="16" t="s">
        <v>26</v>
      </c>
      <c r="L43" s="16" t="s">
        <v>27</v>
      </c>
      <c r="M43" s="16" t="s">
        <v>28</v>
      </c>
      <c r="N43" s="17" t="s">
        <v>29</v>
      </c>
    </row>
    <row r="44" customFormat="false" ht="15.75" hidden="false" customHeight="false" outlineLevel="0" collapsed="false">
      <c r="A44" s="1"/>
      <c r="B44" s="45"/>
      <c r="C44" s="46"/>
      <c r="D44" s="47"/>
      <c r="E44" s="47"/>
      <c r="F44" s="48"/>
      <c r="G44" s="23" t="s">
        <v>30</v>
      </c>
      <c r="H44" s="21" t="s">
        <v>31</v>
      </c>
      <c r="I44" s="21"/>
      <c r="J44" s="21"/>
      <c r="K44" s="21"/>
      <c r="L44" s="21"/>
      <c r="M44" s="21"/>
      <c r="N44" s="22"/>
    </row>
    <row r="45" customFormat="false" ht="15.75" hidden="false" customHeight="false" outlineLevel="0" collapsed="false">
      <c r="A45" s="1"/>
      <c r="B45" s="49" t="s">
        <v>42</v>
      </c>
      <c r="C45" s="50" t="n">
        <v>1</v>
      </c>
      <c r="D45" s="51" t="n">
        <v>0.1</v>
      </c>
      <c r="E45" s="51" t="n">
        <v>0.01</v>
      </c>
      <c r="F45" s="52" t="n">
        <v>0.001</v>
      </c>
      <c r="G45" s="53" t="s">
        <v>3</v>
      </c>
      <c r="H45" s="54" t="s">
        <v>4</v>
      </c>
      <c r="I45" s="54" t="s">
        <v>5</v>
      </c>
      <c r="J45" s="54" t="s">
        <v>6</v>
      </c>
      <c r="K45" s="54" t="s">
        <v>7</v>
      </c>
      <c r="L45" s="54" t="s">
        <v>8</v>
      </c>
      <c r="M45" s="54" t="s">
        <v>9</v>
      </c>
      <c r="N45" s="55" t="s">
        <v>10</v>
      </c>
    </row>
    <row r="46" customFormat="false" ht="15.75" hidden="false" customHeight="false" outlineLevel="0" collapsed="false">
      <c r="A46" s="1"/>
      <c r="B46" s="41"/>
      <c r="C46" s="42"/>
      <c r="D46" s="43"/>
      <c r="E46" s="43"/>
      <c r="F46" s="44"/>
      <c r="G46" s="18" t="s">
        <v>11</v>
      </c>
      <c r="H46" s="16" t="s">
        <v>23</v>
      </c>
      <c r="I46" s="16" t="s">
        <v>24</v>
      </c>
      <c r="J46" s="16" t="s">
        <v>25</v>
      </c>
      <c r="K46" s="16" t="s">
        <v>26</v>
      </c>
      <c r="L46" s="16" t="s">
        <v>27</v>
      </c>
      <c r="M46" s="16" t="s">
        <v>28</v>
      </c>
      <c r="N46" s="17" t="s">
        <v>29</v>
      </c>
    </row>
    <row r="47" customFormat="false" ht="15.75" hidden="false" customHeight="false" outlineLevel="0" collapsed="false">
      <c r="A47" s="1"/>
      <c r="B47" s="41"/>
      <c r="C47" s="42"/>
      <c r="D47" s="43"/>
      <c r="E47" s="43"/>
      <c r="F47" s="44"/>
      <c r="G47" s="18" t="s">
        <v>30</v>
      </c>
      <c r="H47" s="16" t="s">
        <v>31</v>
      </c>
      <c r="I47" s="16"/>
      <c r="J47" s="16"/>
      <c r="K47" s="16"/>
      <c r="L47" s="16"/>
      <c r="M47" s="16"/>
      <c r="N47" s="17"/>
    </row>
    <row r="48" customFormat="false" ht="15.75" hidden="false" customHeight="false" outlineLevel="0" collapsed="false">
      <c r="A48" s="1"/>
      <c r="B48" s="41"/>
      <c r="C48" s="42"/>
      <c r="D48" s="43"/>
      <c r="E48" s="43"/>
      <c r="F48" s="44"/>
      <c r="G48" s="18"/>
      <c r="H48" s="16"/>
      <c r="I48" s="16"/>
      <c r="J48" s="16"/>
      <c r="K48" s="16"/>
      <c r="L48" s="16"/>
      <c r="M48" s="16"/>
      <c r="N48" s="17"/>
    </row>
    <row r="49" customFormat="false" ht="15.75" hidden="false" customHeight="false" outlineLevel="0" collapsed="false">
      <c r="A49" s="1"/>
      <c r="B49" s="45"/>
      <c r="C49" s="46"/>
      <c r="D49" s="47"/>
      <c r="E49" s="47"/>
      <c r="F49" s="48"/>
      <c r="G49" s="23"/>
      <c r="H49" s="21"/>
      <c r="I49" s="21"/>
      <c r="J49" s="21"/>
      <c r="K49" s="21"/>
      <c r="L49" s="21"/>
      <c r="M49" s="21"/>
      <c r="N49" s="22"/>
    </row>
    <row r="50" customFormat="false" ht="15.75" hidden="false" customHeight="false" outlineLevel="0" collapsed="false">
      <c r="A50" s="1" t="n">
        <v>7</v>
      </c>
      <c r="B50" s="37" t="s">
        <v>43</v>
      </c>
      <c r="C50" s="38" t="n">
        <v>1</v>
      </c>
      <c r="D50" s="39" t="n">
        <v>0.1</v>
      </c>
      <c r="E50" s="39" t="n">
        <v>0.01</v>
      </c>
      <c r="F50" s="40" t="n">
        <v>0.001</v>
      </c>
      <c r="G50" s="11" t="s">
        <v>3</v>
      </c>
      <c r="H50" s="12" t="s">
        <v>4</v>
      </c>
      <c r="I50" s="12" t="s">
        <v>5</v>
      </c>
      <c r="J50" s="12" t="s">
        <v>6</v>
      </c>
      <c r="K50" s="12" t="s">
        <v>7</v>
      </c>
      <c r="L50" s="12" t="s">
        <v>8</v>
      </c>
      <c r="M50" s="12" t="s">
        <v>9</v>
      </c>
      <c r="N50" s="13" t="s">
        <v>10</v>
      </c>
    </row>
    <row r="51" customFormat="false" ht="15.75" hidden="false" customHeight="false" outlineLevel="0" collapsed="false">
      <c r="A51" s="1"/>
      <c r="B51" s="41"/>
      <c r="C51" s="42"/>
      <c r="D51" s="43"/>
      <c r="E51" s="43"/>
      <c r="F51" s="44"/>
      <c r="G51" s="18" t="s">
        <v>11</v>
      </c>
      <c r="H51" s="16" t="s">
        <v>23</v>
      </c>
      <c r="I51" s="16" t="s">
        <v>24</v>
      </c>
      <c r="J51" s="16" t="s">
        <v>25</v>
      </c>
      <c r="K51" s="16" t="s">
        <v>26</v>
      </c>
      <c r="L51" s="16" t="s">
        <v>27</v>
      </c>
      <c r="M51" s="16" t="s">
        <v>28</v>
      </c>
      <c r="N51" s="17" t="s">
        <v>29</v>
      </c>
    </row>
    <row r="52" customFormat="false" ht="15.75" hidden="false" customHeight="false" outlineLevel="0" collapsed="false">
      <c r="A52" s="1"/>
      <c r="B52" s="45"/>
      <c r="C52" s="46"/>
      <c r="D52" s="47"/>
      <c r="E52" s="47"/>
      <c r="F52" s="48"/>
      <c r="G52" s="23" t="s">
        <v>30</v>
      </c>
      <c r="H52" s="21" t="s">
        <v>31</v>
      </c>
      <c r="I52" s="21"/>
      <c r="J52" s="21"/>
      <c r="K52" s="21"/>
      <c r="L52" s="21"/>
      <c r="M52" s="21"/>
      <c r="N52" s="22"/>
    </row>
    <row r="53" customFormat="false" ht="15.75" hidden="false" customHeight="false" outlineLevel="0" collapsed="false">
      <c r="A53" s="1"/>
      <c r="B53" s="49" t="s">
        <v>44</v>
      </c>
      <c r="C53" s="50" t="n">
        <v>1</v>
      </c>
      <c r="D53" s="51" t="n">
        <v>0.1</v>
      </c>
      <c r="E53" s="51" t="n">
        <v>0.01</v>
      </c>
      <c r="F53" s="52" t="n">
        <v>0.001</v>
      </c>
      <c r="G53" s="53" t="s">
        <v>3</v>
      </c>
      <c r="H53" s="54" t="s">
        <v>4</v>
      </c>
      <c r="I53" s="54" t="s">
        <v>5</v>
      </c>
      <c r="J53" s="54" t="s">
        <v>6</v>
      </c>
      <c r="K53" s="54" t="s">
        <v>7</v>
      </c>
      <c r="L53" s="54" t="s">
        <v>8</v>
      </c>
      <c r="M53" s="54" t="s">
        <v>9</v>
      </c>
      <c r="N53" s="55" t="s">
        <v>10</v>
      </c>
    </row>
    <row r="54" customFormat="false" ht="15.75" hidden="false" customHeight="false" outlineLevel="0" collapsed="false">
      <c r="A54" s="1"/>
      <c r="B54" s="41"/>
      <c r="C54" s="42"/>
      <c r="D54" s="43"/>
      <c r="E54" s="43"/>
      <c r="F54" s="44"/>
      <c r="G54" s="18" t="s">
        <v>11</v>
      </c>
      <c r="H54" s="16" t="s">
        <v>23</v>
      </c>
      <c r="I54" s="16" t="s">
        <v>24</v>
      </c>
      <c r="J54" s="16" t="s">
        <v>25</v>
      </c>
      <c r="K54" s="16" t="s">
        <v>26</v>
      </c>
      <c r="L54" s="16" t="s">
        <v>27</v>
      </c>
      <c r="M54" s="16" t="s">
        <v>28</v>
      </c>
      <c r="N54" s="17" t="s">
        <v>29</v>
      </c>
    </row>
    <row r="55" customFormat="false" ht="15.75" hidden="false" customHeight="false" outlineLevel="0" collapsed="false">
      <c r="A55" s="1"/>
      <c r="B55" s="41"/>
      <c r="C55" s="42"/>
      <c r="D55" s="43"/>
      <c r="E55" s="43"/>
      <c r="F55" s="44"/>
      <c r="G55" s="18" t="s">
        <v>30</v>
      </c>
      <c r="H55" s="16" t="s">
        <v>31</v>
      </c>
      <c r="I55" s="16"/>
      <c r="J55" s="16"/>
      <c r="K55" s="16"/>
      <c r="L55" s="16"/>
      <c r="M55" s="16"/>
      <c r="N55" s="17"/>
    </row>
    <row r="56" customFormat="false" ht="15.75" hidden="false" customHeight="false" outlineLevel="0" collapsed="false">
      <c r="A56" s="1"/>
      <c r="B56" s="41"/>
      <c r="C56" s="42"/>
      <c r="D56" s="43"/>
      <c r="E56" s="43"/>
      <c r="F56" s="44"/>
      <c r="G56" s="18"/>
      <c r="H56" s="16"/>
      <c r="I56" s="16"/>
      <c r="J56" s="16"/>
      <c r="K56" s="16"/>
      <c r="L56" s="16"/>
      <c r="M56" s="16"/>
      <c r="N56" s="17"/>
    </row>
    <row r="57" customFormat="false" ht="15.75" hidden="false" customHeight="false" outlineLevel="0" collapsed="false">
      <c r="A57" s="1"/>
      <c r="B57" s="45"/>
      <c r="C57" s="46"/>
      <c r="D57" s="47"/>
      <c r="E57" s="47"/>
      <c r="F57" s="48"/>
      <c r="G57" s="23"/>
      <c r="H57" s="21"/>
      <c r="I57" s="21"/>
      <c r="J57" s="21"/>
      <c r="K57" s="21"/>
      <c r="L57" s="21"/>
      <c r="M57" s="21"/>
      <c r="N57" s="22"/>
    </row>
  </sheetData>
  <mergeCells count="7">
    <mergeCell ref="A2:A9"/>
    <mergeCell ref="A10:A17"/>
    <mergeCell ref="A18:A25"/>
    <mergeCell ref="A26:A33"/>
    <mergeCell ref="A34:A41"/>
    <mergeCell ref="A42:A49"/>
    <mergeCell ref="A50:A5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outlinePr summaryBelow="0"/>
    <pageSetUpPr fitToPage="false"/>
  </sheetPr>
  <dimension ref="A1:AJ30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.39"/>
    <col collapsed="false" customWidth="true" hidden="false" outlineLevel="0" max="3" min="3" style="0" width="7.81"/>
    <col collapsed="false" customWidth="true" hidden="false" outlineLevel="0" max="4" min="4" style="0" width="14.24"/>
    <col collapsed="false" customWidth="true" hidden="false" outlineLevel="0" max="5" min="5" style="0" width="13.27"/>
    <col collapsed="false" customWidth="true" hidden="false" outlineLevel="0" max="6" min="6" style="0" width="12.18"/>
    <col collapsed="false" customWidth="true" hidden="false" outlineLevel="0" max="7" min="7" style="0" width="10.36"/>
    <col collapsed="false" customWidth="true" hidden="false" outlineLevel="0" max="9" min="8" style="0" width="14.12"/>
    <col collapsed="false" customWidth="true" hidden="false" outlineLevel="0" max="10" min="10" style="0" width="7.57"/>
    <col collapsed="false" customWidth="true" hidden="false" outlineLevel="0" max="11" min="11" style="0" width="9.14"/>
    <col collapsed="false" customWidth="true" hidden="false" outlineLevel="0" max="12" min="12" style="0" width="14.72"/>
    <col collapsed="false" customWidth="true" hidden="false" outlineLevel="0" max="13" min="13" style="0" width="12.54"/>
    <col collapsed="false" customWidth="true" hidden="false" outlineLevel="0" max="14" min="14" style="0" width="22.86"/>
    <col collapsed="false" customWidth="true" hidden="false" outlineLevel="0" max="15" min="15" style="0" width="13.15"/>
    <col collapsed="false" customWidth="true" hidden="false" outlineLevel="0" max="16" min="16" style="0" width="18.97"/>
    <col collapsed="false" customWidth="true" hidden="false" outlineLevel="0" max="17" min="17" style="0" width="14.24"/>
    <col collapsed="false" customWidth="true" hidden="false" outlineLevel="0" max="18" min="18" style="0" width="13.39"/>
    <col collapsed="false" customWidth="true" hidden="false" outlineLevel="0" max="19" min="19" style="0" width="11.32"/>
    <col collapsed="false" customWidth="true" hidden="false" outlineLevel="0" max="21" min="21" style="0" width="16.3"/>
    <col collapsed="false" customWidth="true" hidden="false" outlineLevel="0" max="24" min="22" style="0" width="7.57"/>
    <col collapsed="false" customWidth="true" hidden="false" outlineLevel="0" max="25" min="25" style="0" width="10.48"/>
    <col collapsed="false" customWidth="true" hidden="false" outlineLevel="0" max="26" min="26" style="0" width="7.57"/>
    <col collapsed="false" customWidth="true" hidden="false" outlineLevel="0" max="32" min="27" style="0" width="9.63"/>
    <col collapsed="false" customWidth="true" hidden="false" outlineLevel="0" max="33" min="33" style="0" width="9.39"/>
    <col collapsed="false" customWidth="true" hidden="false" outlineLevel="0" max="34" min="34" style="0" width="9.75"/>
    <col collapsed="false" customWidth="true" hidden="false" outlineLevel="0" max="35" min="35" style="0" width="5.75"/>
    <col collapsed="false" customWidth="true" hidden="false" outlineLevel="0" max="36" min="36" style="0" width="2.96"/>
  </cols>
  <sheetData>
    <row r="1" customFormat="false" ht="15.75" hidden="false" customHeight="false" outlineLevel="0" collapsed="false">
      <c r="A1" s="59" t="s">
        <v>45</v>
      </c>
      <c r="B1" s="59" t="s">
        <v>46</v>
      </c>
      <c r="C1" s="59" t="s">
        <v>47</v>
      </c>
      <c r="D1" s="59" t="s">
        <v>48</v>
      </c>
      <c r="E1" s="60" t="s">
        <v>49</v>
      </c>
      <c r="F1" s="59" t="s">
        <v>50</v>
      </c>
      <c r="G1" s="59" t="s">
        <v>51</v>
      </c>
      <c r="H1" s="59" t="s">
        <v>52</v>
      </c>
      <c r="I1" s="59" t="s">
        <v>53</v>
      </c>
      <c r="J1" s="59" t="s">
        <v>54</v>
      </c>
      <c r="K1" s="59" t="s">
        <v>55</v>
      </c>
      <c r="L1" s="59" t="s">
        <v>56</v>
      </c>
      <c r="M1" s="59" t="s">
        <v>57</v>
      </c>
      <c r="N1" s="59" t="s">
        <v>58</v>
      </c>
      <c r="O1" s="59" t="s">
        <v>59</v>
      </c>
      <c r="P1" s="59" t="s">
        <v>60</v>
      </c>
      <c r="Q1" s="59" t="s">
        <v>61</v>
      </c>
      <c r="R1" s="59" t="s">
        <v>62</v>
      </c>
      <c r="S1" s="59" t="s">
        <v>63</v>
      </c>
      <c r="T1" s="59" t="s">
        <v>64</v>
      </c>
      <c r="U1" s="59" t="s">
        <v>65</v>
      </c>
      <c r="V1" s="59" t="s">
        <v>66</v>
      </c>
      <c r="W1" s="59" t="s">
        <v>67</v>
      </c>
      <c r="X1" s="59" t="s">
        <v>68</v>
      </c>
      <c r="Y1" s="59" t="s">
        <v>69</v>
      </c>
      <c r="Z1" s="59" t="s">
        <v>70</v>
      </c>
      <c r="AA1" s="59" t="s">
        <v>71</v>
      </c>
      <c r="AB1" s="59" t="s">
        <v>72</v>
      </c>
      <c r="AC1" s="59" t="s">
        <v>73</v>
      </c>
      <c r="AD1" s="59" t="s">
        <v>74</v>
      </c>
      <c r="AE1" s="59" t="s">
        <v>75</v>
      </c>
      <c r="AF1" s="59" t="s">
        <v>76</v>
      </c>
      <c r="AG1" s="59" t="s">
        <v>77</v>
      </c>
      <c r="AH1" s="59" t="s">
        <v>78</v>
      </c>
      <c r="AI1" s="59" t="s">
        <v>79</v>
      </c>
      <c r="AJ1" s="59"/>
    </row>
    <row r="2" customFormat="false" ht="15.75" hidden="false" customHeight="false" outlineLevel="0" collapsed="false">
      <c r="A2" s="59" t="n">
        <v>1</v>
      </c>
      <c r="B2" s="59" t="s">
        <v>80</v>
      </c>
      <c r="C2" s="61" t="b">
        <f aca="false">FALSE()</f>
        <v>0</v>
      </c>
      <c r="D2" s="59" t="n">
        <v>100</v>
      </c>
      <c r="E2" s="59" t="s">
        <v>22</v>
      </c>
      <c r="F2" s="59" t="s">
        <v>81</v>
      </c>
      <c r="G2" s="59" t="s">
        <v>82</v>
      </c>
      <c r="H2" s="59" t="n">
        <v>29.576</v>
      </c>
      <c r="I2" s="59" t="n">
        <v>23.513</v>
      </c>
      <c r="J2" s="59" t="n">
        <v>7.666</v>
      </c>
      <c r="K2" s="59"/>
      <c r="L2" s="59"/>
      <c r="M2" s="59"/>
      <c r="N2" s="61" t="b">
        <f aca="false">TRUE()</f>
        <v>1</v>
      </c>
      <c r="O2" s="59" t="n">
        <v>0.116</v>
      </c>
      <c r="P2" s="61" t="b">
        <f aca="false">TRUE()</f>
        <v>1</v>
      </c>
      <c r="Q2" s="59" t="n">
        <v>1</v>
      </c>
      <c r="R2" s="59" t="n">
        <v>40</v>
      </c>
      <c r="S2" s="59"/>
      <c r="T2" s="59"/>
      <c r="U2" s="59"/>
      <c r="V2" s="59" t="n">
        <v>82.633</v>
      </c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 t="s">
        <v>83</v>
      </c>
      <c r="AH2" s="59" t="s">
        <v>84</v>
      </c>
      <c r="AI2" s="59" t="s">
        <v>84</v>
      </c>
      <c r="AJ2" s="59"/>
    </row>
    <row r="3" customFormat="false" ht="15.75" hidden="false" customHeight="false" outlineLevel="0" collapsed="false">
      <c r="A3" s="59" t="n">
        <v>2</v>
      </c>
      <c r="B3" s="59" t="s">
        <v>85</v>
      </c>
      <c r="C3" s="61" t="b">
        <f aca="false">FALSE()</f>
        <v>0</v>
      </c>
      <c r="D3" s="59" t="n">
        <v>10</v>
      </c>
      <c r="E3" s="59" t="s">
        <v>22</v>
      </c>
      <c r="F3" s="59" t="s">
        <v>81</v>
      </c>
      <c r="G3" s="59" t="s">
        <v>82</v>
      </c>
      <c r="H3" s="59" t="n">
        <v>32.381</v>
      </c>
      <c r="I3" s="59" t="n">
        <v>23.513</v>
      </c>
      <c r="J3" s="59" t="n">
        <v>7.666</v>
      </c>
      <c r="K3" s="59"/>
      <c r="L3" s="59"/>
      <c r="M3" s="59"/>
      <c r="N3" s="61" t="b">
        <f aca="false">TRUE()</f>
        <v>1</v>
      </c>
      <c r="O3" s="59" t="n">
        <v>0.116</v>
      </c>
      <c r="P3" s="61" t="b">
        <f aca="false">TRUE()</f>
        <v>1</v>
      </c>
      <c r="Q3" s="59" t="n">
        <v>1</v>
      </c>
      <c r="R3" s="59" t="n">
        <v>40</v>
      </c>
      <c r="S3" s="59"/>
      <c r="T3" s="59"/>
      <c r="U3" s="59"/>
      <c r="V3" s="59" t="n">
        <v>82.244</v>
      </c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 t="s">
        <v>83</v>
      </c>
      <c r="AH3" s="59" t="s">
        <v>84</v>
      </c>
      <c r="AI3" s="59" t="s">
        <v>84</v>
      </c>
      <c r="AJ3" s="59"/>
    </row>
    <row r="4" customFormat="false" ht="15.75" hidden="false" customHeight="false" outlineLevel="0" collapsed="false">
      <c r="A4" s="59" t="n">
        <v>3</v>
      </c>
      <c r="B4" s="59" t="s">
        <v>86</v>
      </c>
      <c r="C4" s="61" t="b">
        <f aca="false">FALSE()</f>
        <v>0</v>
      </c>
      <c r="D4" s="59" t="n">
        <v>1</v>
      </c>
      <c r="E4" s="59" t="s">
        <v>22</v>
      </c>
      <c r="F4" s="59" t="s">
        <v>81</v>
      </c>
      <c r="G4" s="59" t="s">
        <v>82</v>
      </c>
      <c r="H4" s="59" t="n">
        <v>36.337</v>
      </c>
      <c r="I4" s="59" t="n">
        <v>23.513</v>
      </c>
      <c r="J4" s="59" t="n">
        <v>7.666</v>
      </c>
      <c r="K4" s="59"/>
      <c r="L4" s="59"/>
      <c r="M4" s="59"/>
      <c r="N4" s="61" t="b">
        <f aca="false">TRUE()</f>
        <v>1</v>
      </c>
      <c r="O4" s="59" t="n">
        <v>0.116</v>
      </c>
      <c r="P4" s="61" t="b">
        <f aca="false">TRUE()</f>
        <v>1</v>
      </c>
      <c r="Q4" s="59" t="n">
        <v>1</v>
      </c>
      <c r="R4" s="59" t="n">
        <v>40</v>
      </c>
      <c r="S4" s="59"/>
      <c r="T4" s="59"/>
      <c r="U4" s="59"/>
      <c r="V4" s="59" t="n">
        <v>82.146</v>
      </c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 t="s">
        <v>83</v>
      </c>
      <c r="AH4" s="59" t="s">
        <v>84</v>
      </c>
      <c r="AI4" s="59" t="s">
        <v>84</v>
      </c>
      <c r="AJ4" s="59"/>
    </row>
    <row r="5" customFormat="false" ht="15.75" hidden="false" customHeight="false" outlineLevel="0" collapsed="false">
      <c r="A5" s="59" t="n">
        <v>4</v>
      </c>
      <c r="B5" s="59" t="s">
        <v>87</v>
      </c>
      <c r="C5" s="61" t="b">
        <f aca="false">FALSE()</f>
        <v>0</v>
      </c>
      <c r="D5" s="59" t="n">
        <v>0.1</v>
      </c>
      <c r="E5" s="59" t="s">
        <v>22</v>
      </c>
      <c r="F5" s="59" t="s">
        <v>81</v>
      </c>
      <c r="G5" s="59" t="s">
        <v>82</v>
      </c>
      <c r="H5" s="59" t="s">
        <v>88</v>
      </c>
      <c r="I5" s="59" t="n">
        <v>23.513</v>
      </c>
      <c r="J5" s="59" t="n">
        <v>7.666</v>
      </c>
      <c r="K5" s="59"/>
      <c r="L5" s="59"/>
      <c r="M5" s="59"/>
      <c r="N5" s="61" t="b">
        <f aca="false">TRUE()</f>
        <v>1</v>
      </c>
      <c r="O5" s="59" t="n">
        <v>0.116</v>
      </c>
      <c r="P5" s="61" t="b">
        <f aca="false">TRUE()</f>
        <v>1</v>
      </c>
      <c r="Q5" s="59" t="n">
        <v>1</v>
      </c>
      <c r="R5" s="59" t="n">
        <v>40</v>
      </c>
      <c r="S5" s="59"/>
      <c r="T5" s="59"/>
      <c r="U5" s="59"/>
      <c r="V5" s="59" t="n">
        <v>65.696</v>
      </c>
      <c r="W5" s="59"/>
      <c r="X5" s="59" t="n">
        <v>89.252</v>
      </c>
      <c r="Y5" s="59"/>
      <c r="Z5" s="59" t="n">
        <v>78.837</v>
      </c>
      <c r="AA5" s="59"/>
      <c r="AB5" s="59"/>
      <c r="AC5" s="59"/>
      <c r="AD5" s="59"/>
      <c r="AE5" s="59"/>
      <c r="AF5" s="59"/>
      <c r="AG5" s="59" t="s">
        <v>84</v>
      </c>
      <c r="AH5" s="59" t="s">
        <v>83</v>
      </c>
      <c r="AI5" s="59" t="s">
        <v>83</v>
      </c>
      <c r="AJ5" s="59"/>
    </row>
    <row r="6" customFormat="false" ht="15.75" hidden="false" customHeight="false" outlineLevel="0" collapsed="false">
      <c r="A6" s="59" t="n">
        <v>5</v>
      </c>
      <c r="B6" s="59" t="s">
        <v>89</v>
      </c>
      <c r="C6" s="61" t="b">
        <f aca="false">FALSE()</f>
        <v>0</v>
      </c>
      <c r="D6" s="59" t="s">
        <v>3</v>
      </c>
      <c r="E6" s="59" t="s">
        <v>22</v>
      </c>
      <c r="F6" s="59" t="s">
        <v>81</v>
      </c>
      <c r="G6" s="59" t="s">
        <v>82</v>
      </c>
      <c r="H6" s="59" t="n">
        <v>30.175</v>
      </c>
      <c r="I6" s="59" t="n">
        <v>23.513</v>
      </c>
      <c r="J6" s="59" t="n">
        <v>7.666</v>
      </c>
      <c r="K6" s="59"/>
      <c r="L6" s="59"/>
      <c r="M6" s="59"/>
      <c r="N6" s="61" t="b">
        <f aca="false">TRUE()</f>
        <v>1</v>
      </c>
      <c r="O6" s="59" t="n">
        <v>0.116</v>
      </c>
      <c r="P6" s="61" t="b">
        <f aca="false">TRUE()</f>
        <v>1</v>
      </c>
      <c r="Q6" s="59" t="n">
        <v>1</v>
      </c>
      <c r="R6" s="59" t="n">
        <v>40</v>
      </c>
      <c r="S6" s="59"/>
      <c r="T6" s="59"/>
      <c r="U6" s="59"/>
      <c r="V6" s="59" t="n">
        <v>82.536</v>
      </c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 t="s">
        <v>83</v>
      </c>
      <c r="AH6" s="59" t="s">
        <v>84</v>
      </c>
      <c r="AI6" s="59" t="s">
        <v>84</v>
      </c>
      <c r="AJ6" s="59"/>
    </row>
    <row r="7" customFormat="false" ht="15.75" hidden="false" customHeight="false" outlineLevel="0" collapsed="false">
      <c r="A7" s="59" t="n">
        <v>6</v>
      </c>
      <c r="B7" s="59" t="s">
        <v>90</v>
      </c>
      <c r="C7" s="61" t="b">
        <f aca="false">FALSE()</f>
        <v>0</v>
      </c>
      <c r="D7" s="59" t="s">
        <v>4</v>
      </c>
      <c r="E7" s="59" t="s">
        <v>22</v>
      </c>
      <c r="F7" s="59" t="s">
        <v>81</v>
      </c>
      <c r="G7" s="59" t="s">
        <v>82</v>
      </c>
      <c r="H7" s="59" t="n">
        <v>29.72</v>
      </c>
      <c r="I7" s="59" t="n">
        <v>23.513</v>
      </c>
      <c r="J7" s="59" t="n">
        <v>7.666</v>
      </c>
      <c r="K7" s="59"/>
      <c r="L7" s="59"/>
      <c r="M7" s="59"/>
      <c r="N7" s="61" t="b">
        <f aca="false">TRUE()</f>
        <v>1</v>
      </c>
      <c r="O7" s="59" t="n">
        <v>0.116</v>
      </c>
      <c r="P7" s="61" t="b">
        <f aca="false">TRUE()</f>
        <v>1</v>
      </c>
      <c r="Q7" s="59" t="n">
        <v>1</v>
      </c>
      <c r="R7" s="59" t="n">
        <v>40</v>
      </c>
      <c r="S7" s="59"/>
      <c r="T7" s="59"/>
      <c r="U7" s="59"/>
      <c r="V7" s="59" t="n">
        <v>82.536</v>
      </c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 t="s">
        <v>83</v>
      </c>
      <c r="AH7" s="59" t="s">
        <v>84</v>
      </c>
      <c r="AI7" s="59" t="s">
        <v>84</v>
      </c>
      <c r="AJ7" s="59"/>
    </row>
    <row r="8" customFormat="false" ht="15.75" hidden="false" customHeight="false" outlineLevel="0" collapsed="false">
      <c r="A8" s="59" t="n">
        <v>7</v>
      </c>
      <c r="B8" s="59" t="s">
        <v>91</v>
      </c>
      <c r="C8" s="61" t="b">
        <f aca="false">FALSE()</f>
        <v>0</v>
      </c>
      <c r="D8" s="59" t="s">
        <v>5</v>
      </c>
      <c r="E8" s="59" t="s">
        <v>22</v>
      </c>
      <c r="F8" s="59" t="s">
        <v>81</v>
      </c>
      <c r="G8" s="59" t="s">
        <v>82</v>
      </c>
      <c r="H8" s="59" t="n">
        <v>31.24</v>
      </c>
      <c r="I8" s="59" t="n">
        <v>23.513</v>
      </c>
      <c r="J8" s="59" t="n">
        <v>7.666</v>
      </c>
      <c r="K8" s="59"/>
      <c r="L8" s="59"/>
      <c r="M8" s="59"/>
      <c r="N8" s="61" t="b">
        <f aca="false">TRUE()</f>
        <v>1</v>
      </c>
      <c r="O8" s="59" t="n">
        <v>0.116</v>
      </c>
      <c r="P8" s="61" t="b">
        <f aca="false">TRUE()</f>
        <v>1</v>
      </c>
      <c r="Q8" s="59" t="n">
        <v>1</v>
      </c>
      <c r="R8" s="59" t="n">
        <v>40</v>
      </c>
      <c r="S8" s="59"/>
      <c r="T8" s="59"/>
      <c r="U8" s="59"/>
      <c r="V8" s="59" t="n">
        <v>82.633</v>
      </c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 t="s">
        <v>83</v>
      </c>
      <c r="AH8" s="59" t="s">
        <v>84</v>
      </c>
      <c r="AI8" s="59" t="s">
        <v>84</v>
      </c>
      <c r="AJ8" s="59"/>
    </row>
    <row r="9" customFormat="false" ht="15.75" hidden="false" customHeight="false" outlineLevel="0" collapsed="false">
      <c r="A9" s="59" t="n">
        <v>8</v>
      </c>
      <c r="B9" s="59" t="s">
        <v>92</v>
      </c>
      <c r="C9" s="61" t="b">
        <f aca="false">FALSE()</f>
        <v>0</v>
      </c>
      <c r="D9" s="59" t="s">
        <v>6</v>
      </c>
      <c r="E9" s="59" t="s">
        <v>22</v>
      </c>
      <c r="F9" s="59" t="s">
        <v>81</v>
      </c>
      <c r="G9" s="59" t="s">
        <v>82</v>
      </c>
      <c r="H9" s="59" t="n">
        <v>31.824</v>
      </c>
      <c r="I9" s="59" t="n">
        <v>23.513</v>
      </c>
      <c r="J9" s="59" t="n">
        <v>7.666</v>
      </c>
      <c r="K9" s="59"/>
      <c r="L9" s="59"/>
      <c r="M9" s="59"/>
      <c r="N9" s="61" t="b">
        <f aca="false">TRUE()</f>
        <v>1</v>
      </c>
      <c r="O9" s="59" t="n">
        <v>0.116</v>
      </c>
      <c r="P9" s="61" t="b">
        <f aca="false">TRUE()</f>
        <v>1</v>
      </c>
      <c r="Q9" s="59" t="n">
        <v>1</v>
      </c>
      <c r="R9" s="59" t="n">
        <v>40</v>
      </c>
      <c r="S9" s="59"/>
      <c r="T9" s="59"/>
      <c r="U9" s="59"/>
      <c r="V9" s="59" t="n">
        <v>82.536</v>
      </c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 t="s">
        <v>83</v>
      </c>
      <c r="AH9" s="59" t="s">
        <v>84</v>
      </c>
      <c r="AI9" s="59" t="s">
        <v>84</v>
      </c>
      <c r="AJ9" s="59"/>
    </row>
    <row r="10" customFormat="false" ht="15.75" hidden="false" customHeight="false" outlineLevel="0" collapsed="false">
      <c r="A10" s="59" t="n">
        <v>9</v>
      </c>
      <c r="B10" s="59" t="s">
        <v>93</v>
      </c>
      <c r="C10" s="61" t="b">
        <f aca="false">FALSE()</f>
        <v>0</v>
      </c>
      <c r="D10" s="59" t="s">
        <v>7</v>
      </c>
      <c r="E10" s="59" t="s">
        <v>22</v>
      </c>
      <c r="F10" s="59" t="s">
        <v>81</v>
      </c>
      <c r="G10" s="59" t="s">
        <v>82</v>
      </c>
      <c r="H10" s="59" t="n">
        <v>34.312</v>
      </c>
      <c r="I10" s="59" t="n">
        <v>23.513</v>
      </c>
      <c r="J10" s="59" t="n">
        <v>7.666</v>
      </c>
      <c r="K10" s="59"/>
      <c r="L10" s="59"/>
      <c r="M10" s="59"/>
      <c r="N10" s="61" t="b">
        <f aca="false">TRUE()</f>
        <v>1</v>
      </c>
      <c r="O10" s="59" t="n">
        <v>0.116</v>
      </c>
      <c r="P10" s="61" t="b">
        <f aca="false">TRUE()</f>
        <v>1</v>
      </c>
      <c r="Q10" s="59" t="n">
        <v>1</v>
      </c>
      <c r="R10" s="59" t="n">
        <v>40</v>
      </c>
      <c r="S10" s="59"/>
      <c r="T10" s="59"/>
      <c r="U10" s="59"/>
      <c r="V10" s="59" t="n">
        <v>82.438</v>
      </c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 t="s">
        <v>83</v>
      </c>
      <c r="AH10" s="59" t="s">
        <v>84</v>
      </c>
      <c r="AI10" s="59" t="s">
        <v>84</v>
      </c>
      <c r="AJ10" s="59"/>
    </row>
    <row r="11" customFormat="false" ht="15.75" hidden="false" customHeight="false" outlineLevel="0" collapsed="false">
      <c r="A11" s="59" t="n">
        <v>10</v>
      </c>
      <c r="B11" s="59" t="s">
        <v>94</v>
      </c>
      <c r="C11" s="61" t="b">
        <f aca="false">FALSE()</f>
        <v>0</v>
      </c>
      <c r="D11" s="59" t="s">
        <v>8</v>
      </c>
      <c r="E11" s="59" t="s">
        <v>22</v>
      </c>
      <c r="F11" s="59" t="s">
        <v>81</v>
      </c>
      <c r="G11" s="59" t="s">
        <v>82</v>
      </c>
      <c r="H11" s="59" t="n">
        <v>30.291</v>
      </c>
      <c r="I11" s="59" t="n">
        <v>23.513</v>
      </c>
      <c r="J11" s="59" t="n">
        <v>7.666</v>
      </c>
      <c r="K11" s="59"/>
      <c r="L11" s="59"/>
      <c r="M11" s="59"/>
      <c r="N11" s="61" t="b">
        <f aca="false">TRUE()</f>
        <v>1</v>
      </c>
      <c r="O11" s="59" t="n">
        <v>0.116</v>
      </c>
      <c r="P11" s="61" t="b">
        <f aca="false">TRUE()</f>
        <v>1</v>
      </c>
      <c r="Q11" s="59" t="n">
        <v>1</v>
      </c>
      <c r="R11" s="59" t="n">
        <v>40</v>
      </c>
      <c r="S11" s="59"/>
      <c r="T11" s="59"/>
      <c r="U11" s="59"/>
      <c r="V11" s="59" t="n">
        <v>82.438</v>
      </c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 t="s">
        <v>83</v>
      </c>
      <c r="AH11" s="59" t="s">
        <v>84</v>
      </c>
      <c r="AI11" s="59" t="s">
        <v>84</v>
      </c>
      <c r="AJ11" s="59"/>
    </row>
    <row r="12" customFormat="false" ht="15.75" hidden="false" customHeight="false" outlineLevel="0" collapsed="false">
      <c r="A12" s="59" t="n">
        <v>11</v>
      </c>
      <c r="B12" s="59" t="s">
        <v>95</v>
      </c>
      <c r="C12" s="61" t="b">
        <f aca="false">FALSE()</f>
        <v>0</v>
      </c>
      <c r="D12" s="59" t="s">
        <v>9</v>
      </c>
      <c r="E12" s="59" t="s">
        <v>22</v>
      </c>
      <c r="F12" s="59" t="s">
        <v>81</v>
      </c>
      <c r="G12" s="59" t="s">
        <v>82</v>
      </c>
      <c r="H12" s="59" t="n">
        <v>30.339</v>
      </c>
      <c r="I12" s="59" t="n">
        <v>23.513</v>
      </c>
      <c r="J12" s="59" t="n">
        <v>7.666</v>
      </c>
      <c r="K12" s="59"/>
      <c r="L12" s="59"/>
      <c r="M12" s="59"/>
      <c r="N12" s="61" t="b">
        <f aca="false">TRUE()</f>
        <v>1</v>
      </c>
      <c r="O12" s="59" t="n">
        <v>0.116</v>
      </c>
      <c r="P12" s="61" t="b">
        <f aca="false">TRUE()</f>
        <v>1</v>
      </c>
      <c r="Q12" s="59" t="n">
        <v>1</v>
      </c>
      <c r="R12" s="59" t="n">
        <v>40</v>
      </c>
      <c r="S12" s="59"/>
      <c r="T12" s="59"/>
      <c r="U12" s="59"/>
      <c r="V12" s="59" t="n">
        <v>82.438</v>
      </c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 t="s">
        <v>83</v>
      </c>
      <c r="AH12" s="59" t="s">
        <v>84</v>
      </c>
      <c r="AI12" s="59" t="s">
        <v>84</v>
      </c>
      <c r="AJ12" s="59"/>
    </row>
    <row r="13" customFormat="false" ht="15.75" hidden="false" customHeight="false" outlineLevel="0" collapsed="false">
      <c r="A13" s="59" t="n">
        <v>12</v>
      </c>
      <c r="B13" s="59" t="s">
        <v>96</v>
      </c>
      <c r="C13" s="61" t="b">
        <f aca="false">FALSE()</f>
        <v>0</v>
      </c>
      <c r="D13" s="59" t="s">
        <v>10</v>
      </c>
      <c r="E13" s="59" t="s">
        <v>22</v>
      </c>
      <c r="F13" s="59" t="s">
        <v>81</v>
      </c>
      <c r="G13" s="59" t="s">
        <v>82</v>
      </c>
      <c r="H13" s="59" t="n">
        <v>30.272</v>
      </c>
      <c r="I13" s="59" t="n">
        <v>23.513</v>
      </c>
      <c r="J13" s="59" t="n">
        <v>7.666</v>
      </c>
      <c r="K13" s="59"/>
      <c r="L13" s="59"/>
      <c r="M13" s="59"/>
      <c r="N13" s="61" t="b">
        <f aca="false">TRUE()</f>
        <v>1</v>
      </c>
      <c r="O13" s="59" t="n">
        <v>0.116</v>
      </c>
      <c r="P13" s="61" t="b">
        <f aca="false">TRUE()</f>
        <v>1</v>
      </c>
      <c r="Q13" s="59" t="n">
        <v>1</v>
      </c>
      <c r="R13" s="59" t="n">
        <v>40</v>
      </c>
      <c r="S13" s="59"/>
      <c r="T13" s="59"/>
      <c r="U13" s="59"/>
      <c r="V13" s="59" t="n">
        <v>82.341</v>
      </c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 t="s">
        <v>83</v>
      </c>
      <c r="AH13" s="59" t="s">
        <v>84</v>
      </c>
      <c r="AI13" s="59" t="s">
        <v>84</v>
      </c>
      <c r="AJ13" s="59"/>
    </row>
    <row r="14" customFormat="false" ht="15.75" hidden="false" customHeight="false" outlineLevel="0" collapsed="false">
      <c r="A14" s="59" t="n">
        <v>17</v>
      </c>
      <c r="B14" s="59" t="s">
        <v>97</v>
      </c>
      <c r="C14" s="61" t="b">
        <f aca="false">FALSE()</f>
        <v>0</v>
      </c>
      <c r="D14" s="59" t="s">
        <v>11</v>
      </c>
      <c r="E14" s="59" t="s">
        <v>22</v>
      </c>
      <c r="F14" s="59" t="s">
        <v>81</v>
      </c>
      <c r="G14" s="59" t="s">
        <v>82</v>
      </c>
      <c r="H14" s="59" t="n">
        <v>30.921</v>
      </c>
      <c r="I14" s="59" t="n">
        <v>23.513</v>
      </c>
      <c r="J14" s="59" t="n">
        <v>7.666</v>
      </c>
      <c r="K14" s="59"/>
      <c r="L14" s="59"/>
      <c r="M14" s="59"/>
      <c r="N14" s="61" t="b">
        <f aca="false">TRUE()</f>
        <v>1</v>
      </c>
      <c r="O14" s="59" t="n">
        <v>0.116</v>
      </c>
      <c r="P14" s="61" t="b">
        <f aca="false">TRUE()</f>
        <v>1</v>
      </c>
      <c r="Q14" s="59" t="n">
        <v>1</v>
      </c>
      <c r="R14" s="59" t="n">
        <v>40</v>
      </c>
      <c r="S14" s="59"/>
      <c r="T14" s="59"/>
      <c r="U14" s="59"/>
      <c r="V14" s="59" t="n">
        <v>82.438</v>
      </c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 t="s">
        <v>83</v>
      </c>
      <c r="AH14" s="59" t="s">
        <v>84</v>
      </c>
      <c r="AI14" s="59" t="s">
        <v>84</v>
      </c>
      <c r="AJ14" s="59"/>
    </row>
    <row r="15" customFormat="false" ht="15.75" hidden="false" customHeight="false" outlineLevel="0" collapsed="false">
      <c r="A15" s="59" t="n">
        <v>18</v>
      </c>
      <c r="B15" s="59" t="s">
        <v>98</v>
      </c>
      <c r="C15" s="61" t="b">
        <f aca="false">FALSE()</f>
        <v>0</v>
      </c>
      <c r="D15" s="59" t="s">
        <v>23</v>
      </c>
      <c r="E15" s="59" t="s">
        <v>22</v>
      </c>
      <c r="F15" s="59" t="s">
        <v>81</v>
      </c>
      <c r="G15" s="59" t="s">
        <v>82</v>
      </c>
      <c r="H15" s="59" t="n">
        <v>29.927</v>
      </c>
      <c r="I15" s="59" t="n">
        <v>23.513</v>
      </c>
      <c r="J15" s="59" t="n">
        <v>7.666</v>
      </c>
      <c r="K15" s="59"/>
      <c r="L15" s="59"/>
      <c r="M15" s="59"/>
      <c r="N15" s="61" t="b">
        <f aca="false">TRUE()</f>
        <v>1</v>
      </c>
      <c r="O15" s="59" t="n">
        <v>0.116</v>
      </c>
      <c r="P15" s="61" t="b">
        <f aca="false">TRUE()</f>
        <v>1</v>
      </c>
      <c r="Q15" s="59" t="n">
        <v>1</v>
      </c>
      <c r="R15" s="59" t="n">
        <v>40</v>
      </c>
      <c r="S15" s="59"/>
      <c r="T15" s="59"/>
      <c r="U15" s="59"/>
      <c r="V15" s="59" t="n">
        <v>82.536</v>
      </c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 t="s">
        <v>83</v>
      </c>
      <c r="AH15" s="59" t="s">
        <v>84</v>
      </c>
      <c r="AI15" s="59" t="s">
        <v>84</v>
      </c>
      <c r="AJ15" s="59"/>
    </row>
    <row r="16" customFormat="false" ht="15.75" hidden="false" customHeight="false" outlineLevel="0" collapsed="false">
      <c r="A16" s="59" t="n">
        <v>19</v>
      </c>
      <c r="B16" s="59" t="s">
        <v>99</v>
      </c>
      <c r="C16" s="61" t="b">
        <f aca="false">FALSE()</f>
        <v>0</v>
      </c>
      <c r="D16" s="59" t="s">
        <v>24</v>
      </c>
      <c r="E16" s="59" t="s">
        <v>22</v>
      </c>
      <c r="F16" s="59" t="s">
        <v>81</v>
      </c>
      <c r="G16" s="59" t="s">
        <v>82</v>
      </c>
      <c r="H16" s="59" t="n">
        <v>29.595</v>
      </c>
      <c r="I16" s="59" t="n">
        <v>23.513</v>
      </c>
      <c r="J16" s="59" t="n">
        <v>7.666</v>
      </c>
      <c r="K16" s="59"/>
      <c r="L16" s="59"/>
      <c r="M16" s="59"/>
      <c r="N16" s="61" t="b">
        <f aca="false">TRUE()</f>
        <v>1</v>
      </c>
      <c r="O16" s="59" t="n">
        <v>0.116</v>
      </c>
      <c r="P16" s="61" t="b">
        <f aca="false">TRUE()</f>
        <v>1</v>
      </c>
      <c r="Q16" s="59" t="n">
        <v>1</v>
      </c>
      <c r="R16" s="59" t="n">
        <v>40</v>
      </c>
      <c r="S16" s="59"/>
      <c r="T16" s="59"/>
      <c r="U16" s="59"/>
      <c r="V16" s="59" t="n">
        <v>82.633</v>
      </c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 t="s">
        <v>83</v>
      </c>
      <c r="AH16" s="59" t="s">
        <v>84</v>
      </c>
      <c r="AI16" s="59" t="s">
        <v>84</v>
      </c>
      <c r="AJ16" s="59"/>
    </row>
    <row r="17" customFormat="false" ht="15.75" hidden="false" customHeight="false" outlineLevel="0" collapsed="false">
      <c r="A17" s="59" t="n">
        <v>20</v>
      </c>
      <c r="B17" s="59" t="s">
        <v>100</v>
      </c>
      <c r="C17" s="61" t="b">
        <f aca="false">FALSE()</f>
        <v>0</v>
      </c>
      <c r="D17" s="59" t="s">
        <v>25</v>
      </c>
      <c r="E17" s="59" t="s">
        <v>22</v>
      </c>
      <c r="F17" s="59" t="s">
        <v>81</v>
      </c>
      <c r="G17" s="59" t="s">
        <v>82</v>
      </c>
      <c r="H17" s="59" t="n">
        <v>30.198</v>
      </c>
      <c r="I17" s="59" t="n">
        <v>23.513</v>
      </c>
      <c r="J17" s="59" t="n">
        <v>7.666</v>
      </c>
      <c r="K17" s="59"/>
      <c r="L17" s="59"/>
      <c r="M17" s="59"/>
      <c r="N17" s="61" t="b">
        <f aca="false">TRUE()</f>
        <v>1</v>
      </c>
      <c r="O17" s="59" t="n">
        <v>0.116</v>
      </c>
      <c r="P17" s="61" t="b">
        <f aca="false">TRUE()</f>
        <v>1</v>
      </c>
      <c r="Q17" s="59" t="n">
        <v>1</v>
      </c>
      <c r="R17" s="59" t="n">
        <v>40</v>
      </c>
      <c r="S17" s="59"/>
      <c r="T17" s="59"/>
      <c r="U17" s="59"/>
      <c r="V17" s="59" t="n">
        <v>82.438</v>
      </c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 t="s">
        <v>83</v>
      </c>
      <c r="AH17" s="59" t="s">
        <v>84</v>
      </c>
      <c r="AI17" s="59" t="s">
        <v>84</v>
      </c>
      <c r="AJ17" s="59"/>
    </row>
    <row r="18" customFormat="false" ht="15.75" hidden="false" customHeight="false" outlineLevel="0" collapsed="false">
      <c r="A18" s="59" t="n">
        <v>21</v>
      </c>
      <c r="B18" s="59" t="s">
        <v>101</v>
      </c>
      <c r="C18" s="61" t="b">
        <f aca="false">FALSE()</f>
        <v>0</v>
      </c>
      <c r="D18" s="59" t="s">
        <v>26</v>
      </c>
      <c r="E18" s="59" t="s">
        <v>22</v>
      </c>
      <c r="F18" s="59" t="s">
        <v>81</v>
      </c>
      <c r="G18" s="59" t="s">
        <v>82</v>
      </c>
      <c r="H18" s="59" t="n">
        <v>30.583</v>
      </c>
      <c r="I18" s="59" t="n">
        <v>23.513</v>
      </c>
      <c r="J18" s="59" t="n">
        <v>7.666</v>
      </c>
      <c r="K18" s="59"/>
      <c r="L18" s="59"/>
      <c r="M18" s="59"/>
      <c r="N18" s="61" t="b">
        <f aca="false">TRUE()</f>
        <v>1</v>
      </c>
      <c r="O18" s="59" t="n">
        <v>0.116</v>
      </c>
      <c r="P18" s="61" t="b">
        <f aca="false">TRUE()</f>
        <v>1</v>
      </c>
      <c r="Q18" s="59" t="n">
        <v>1</v>
      </c>
      <c r="R18" s="59" t="n">
        <v>40</v>
      </c>
      <c r="S18" s="59"/>
      <c r="T18" s="59"/>
      <c r="U18" s="59"/>
      <c r="V18" s="59" t="n">
        <v>82.438</v>
      </c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 t="s">
        <v>83</v>
      </c>
      <c r="AH18" s="59" t="s">
        <v>84</v>
      </c>
      <c r="AI18" s="59" t="s">
        <v>84</v>
      </c>
      <c r="AJ18" s="59"/>
    </row>
    <row r="19" customFormat="false" ht="15.75" hidden="false" customHeight="false" outlineLevel="0" collapsed="false">
      <c r="A19" s="59" t="n">
        <v>22</v>
      </c>
      <c r="B19" s="59" t="s">
        <v>102</v>
      </c>
      <c r="C19" s="61" t="b">
        <f aca="false">FALSE()</f>
        <v>0</v>
      </c>
      <c r="D19" s="59" t="s">
        <v>27</v>
      </c>
      <c r="E19" s="59" t="s">
        <v>22</v>
      </c>
      <c r="F19" s="59" t="s">
        <v>81</v>
      </c>
      <c r="G19" s="59" t="s">
        <v>82</v>
      </c>
      <c r="H19" s="59" t="n">
        <v>29.432</v>
      </c>
      <c r="I19" s="59" t="n">
        <v>23.513</v>
      </c>
      <c r="J19" s="59" t="n">
        <v>7.666</v>
      </c>
      <c r="K19" s="59"/>
      <c r="L19" s="59"/>
      <c r="M19" s="59"/>
      <c r="N19" s="61" t="b">
        <f aca="false">TRUE()</f>
        <v>1</v>
      </c>
      <c r="O19" s="59" t="n">
        <v>0.116</v>
      </c>
      <c r="P19" s="61" t="b">
        <f aca="false">TRUE()</f>
        <v>1</v>
      </c>
      <c r="Q19" s="59" t="n">
        <v>1</v>
      </c>
      <c r="R19" s="59" t="n">
        <v>40</v>
      </c>
      <c r="S19" s="59"/>
      <c r="T19" s="59"/>
      <c r="U19" s="59"/>
      <c r="V19" s="59" t="n">
        <v>82.536</v>
      </c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 t="s">
        <v>83</v>
      </c>
      <c r="AH19" s="59" t="s">
        <v>84</v>
      </c>
      <c r="AI19" s="59" t="s">
        <v>84</v>
      </c>
      <c r="AJ19" s="59"/>
    </row>
    <row r="20" customFormat="false" ht="15.75" hidden="false" customHeight="false" outlineLevel="0" collapsed="false">
      <c r="A20" s="59" t="n">
        <v>23</v>
      </c>
      <c r="B20" s="59" t="s">
        <v>103</v>
      </c>
      <c r="C20" s="61" t="b">
        <f aca="false">FALSE()</f>
        <v>0</v>
      </c>
      <c r="D20" s="59" t="s">
        <v>28</v>
      </c>
      <c r="E20" s="59" t="s">
        <v>22</v>
      </c>
      <c r="F20" s="59" t="s">
        <v>81</v>
      </c>
      <c r="G20" s="59" t="s">
        <v>82</v>
      </c>
      <c r="H20" s="59" t="n">
        <v>29.405</v>
      </c>
      <c r="I20" s="59" t="n">
        <v>23.513</v>
      </c>
      <c r="J20" s="59" t="n">
        <v>7.666</v>
      </c>
      <c r="K20" s="59"/>
      <c r="L20" s="59"/>
      <c r="M20" s="59"/>
      <c r="N20" s="61" t="b">
        <f aca="false">TRUE()</f>
        <v>1</v>
      </c>
      <c r="O20" s="59" t="n">
        <v>0.116</v>
      </c>
      <c r="P20" s="61" t="b">
        <f aca="false">TRUE()</f>
        <v>1</v>
      </c>
      <c r="Q20" s="59" t="n">
        <v>1</v>
      </c>
      <c r="R20" s="59" t="n">
        <v>40</v>
      </c>
      <c r="S20" s="59"/>
      <c r="T20" s="59"/>
      <c r="U20" s="59"/>
      <c r="V20" s="59" t="n">
        <v>82.438</v>
      </c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 t="s">
        <v>83</v>
      </c>
      <c r="AH20" s="59" t="s">
        <v>84</v>
      </c>
      <c r="AI20" s="59" t="s">
        <v>84</v>
      </c>
      <c r="AJ20" s="59"/>
    </row>
    <row r="21" customFormat="false" ht="15.75" hidden="false" customHeight="false" outlineLevel="0" collapsed="false">
      <c r="A21" s="59" t="n">
        <v>24</v>
      </c>
      <c r="B21" s="59" t="s">
        <v>104</v>
      </c>
      <c r="C21" s="61" t="b">
        <f aca="false">FALSE()</f>
        <v>0</v>
      </c>
      <c r="D21" s="59" t="s">
        <v>29</v>
      </c>
      <c r="E21" s="59" t="s">
        <v>22</v>
      </c>
      <c r="F21" s="59" t="s">
        <v>81</v>
      </c>
      <c r="G21" s="59" t="s">
        <v>82</v>
      </c>
      <c r="H21" s="59" t="n">
        <v>30.904</v>
      </c>
      <c r="I21" s="59" t="n">
        <v>23.513</v>
      </c>
      <c r="J21" s="59" t="n">
        <v>7.666</v>
      </c>
      <c r="K21" s="59"/>
      <c r="L21" s="59"/>
      <c r="M21" s="59"/>
      <c r="N21" s="61" t="b">
        <f aca="false">TRUE()</f>
        <v>1</v>
      </c>
      <c r="O21" s="59" t="n">
        <v>0.116</v>
      </c>
      <c r="P21" s="61" t="b">
        <f aca="false">TRUE()</f>
        <v>1</v>
      </c>
      <c r="Q21" s="59" t="n">
        <v>1</v>
      </c>
      <c r="R21" s="59" t="n">
        <v>40</v>
      </c>
      <c r="S21" s="59"/>
      <c r="T21" s="59"/>
      <c r="U21" s="59"/>
      <c r="V21" s="59" t="n">
        <v>82.341</v>
      </c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 t="s">
        <v>83</v>
      </c>
      <c r="AH21" s="59" t="s">
        <v>84</v>
      </c>
      <c r="AI21" s="59" t="s">
        <v>84</v>
      </c>
      <c r="AJ21" s="59"/>
    </row>
    <row r="22" customFormat="false" ht="15.75" hidden="false" customHeight="false" outlineLevel="0" collapsed="false">
      <c r="A22" s="59" t="n">
        <v>29</v>
      </c>
      <c r="B22" s="59" t="s">
        <v>105</v>
      </c>
      <c r="C22" s="61" t="b">
        <f aca="false">FALSE()</f>
        <v>0</v>
      </c>
      <c r="D22" s="59" t="s">
        <v>30</v>
      </c>
      <c r="E22" s="59" t="s">
        <v>22</v>
      </c>
      <c r="F22" s="59" t="s">
        <v>81</v>
      </c>
      <c r="G22" s="59" t="s">
        <v>82</v>
      </c>
      <c r="H22" s="59" t="n">
        <v>31.562</v>
      </c>
      <c r="I22" s="59" t="n">
        <v>23.513</v>
      </c>
      <c r="J22" s="59" t="n">
        <v>7.666</v>
      </c>
      <c r="K22" s="59"/>
      <c r="L22" s="59"/>
      <c r="M22" s="59"/>
      <c r="N22" s="61" t="b">
        <f aca="false">TRUE()</f>
        <v>1</v>
      </c>
      <c r="O22" s="59" t="n">
        <v>0.116</v>
      </c>
      <c r="P22" s="61" t="b">
        <f aca="false">TRUE()</f>
        <v>1</v>
      </c>
      <c r="Q22" s="59" t="n">
        <v>1</v>
      </c>
      <c r="R22" s="59" t="n">
        <v>40</v>
      </c>
      <c r="S22" s="59"/>
      <c r="T22" s="59"/>
      <c r="U22" s="59"/>
      <c r="V22" s="59" t="n">
        <v>82.438</v>
      </c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 t="s">
        <v>83</v>
      </c>
      <c r="AH22" s="59" t="s">
        <v>84</v>
      </c>
      <c r="AI22" s="59" t="s">
        <v>84</v>
      </c>
      <c r="AJ22" s="59"/>
    </row>
    <row r="23" customFormat="false" ht="15.75" hidden="false" customHeight="false" outlineLevel="0" collapsed="false">
      <c r="A23" s="59" t="n">
        <v>30</v>
      </c>
      <c r="B23" s="59" t="s">
        <v>106</v>
      </c>
      <c r="C23" s="61" t="b">
        <f aca="false">FALSE()</f>
        <v>0</v>
      </c>
      <c r="D23" s="59" t="s">
        <v>31</v>
      </c>
      <c r="E23" s="59" t="s">
        <v>22</v>
      </c>
      <c r="F23" s="59" t="s">
        <v>81</v>
      </c>
      <c r="G23" s="59" t="s">
        <v>82</v>
      </c>
      <c r="H23" s="59" t="n">
        <v>31.641</v>
      </c>
      <c r="I23" s="59" t="n">
        <v>23.513</v>
      </c>
      <c r="J23" s="59" t="n">
        <v>7.666</v>
      </c>
      <c r="K23" s="59"/>
      <c r="L23" s="59"/>
      <c r="M23" s="59"/>
      <c r="N23" s="61" t="b">
        <f aca="false">TRUE()</f>
        <v>1</v>
      </c>
      <c r="O23" s="59" t="n">
        <v>0.116</v>
      </c>
      <c r="P23" s="61" t="b">
        <f aca="false">TRUE()</f>
        <v>1</v>
      </c>
      <c r="Q23" s="59" t="n">
        <v>1</v>
      </c>
      <c r="R23" s="59" t="n">
        <v>40</v>
      </c>
      <c r="S23" s="59"/>
      <c r="T23" s="59"/>
      <c r="U23" s="59"/>
      <c r="V23" s="59" t="n">
        <v>82.438</v>
      </c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 t="s">
        <v>83</v>
      </c>
      <c r="AH23" s="59" t="s">
        <v>84</v>
      </c>
      <c r="AI23" s="59" t="s">
        <v>84</v>
      </c>
      <c r="AJ23" s="59"/>
    </row>
    <row r="24" customFormat="false" ht="15.75" hidden="false" customHeight="false" outlineLevel="0" collapsed="false">
      <c r="A24" s="59" t="n">
        <v>37</v>
      </c>
      <c r="B24" s="59" t="s">
        <v>107</v>
      </c>
      <c r="C24" s="61" t="b">
        <f aca="false">FALSE()</f>
        <v>0</v>
      </c>
      <c r="D24" s="59" t="n">
        <v>100</v>
      </c>
      <c r="E24" s="59" t="s">
        <v>32</v>
      </c>
      <c r="F24" s="59" t="s">
        <v>81</v>
      </c>
      <c r="G24" s="59" t="s">
        <v>82</v>
      </c>
      <c r="H24" s="59" t="n">
        <v>14.971</v>
      </c>
      <c r="I24" s="59" t="n">
        <v>23.513</v>
      </c>
      <c r="J24" s="59" t="n">
        <v>7.666</v>
      </c>
      <c r="K24" s="59"/>
      <c r="L24" s="59"/>
      <c r="M24" s="59"/>
      <c r="N24" s="61" t="b">
        <f aca="false">TRUE()</f>
        <v>1</v>
      </c>
      <c r="O24" s="59" t="n">
        <v>0.116</v>
      </c>
      <c r="P24" s="61" t="b">
        <f aca="false">TRUE()</f>
        <v>1</v>
      </c>
      <c r="Q24" s="59" t="n">
        <v>1</v>
      </c>
      <c r="R24" s="59" t="n">
        <v>40</v>
      </c>
      <c r="S24" s="59"/>
      <c r="T24" s="59"/>
      <c r="U24" s="59"/>
      <c r="V24" s="59" t="n">
        <v>88.473</v>
      </c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 t="s">
        <v>83</v>
      </c>
      <c r="AH24" s="59" t="s">
        <v>84</v>
      </c>
      <c r="AI24" s="59" t="s">
        <v>84</v>
      </c>
      <c r="AJ24" s="59"/>
    </row>
    <row r="25" customFormat="false" ht="15.75" hidden="false" customHeight="false" outlineLevel="0" collapsed="false">
      <c r="A25" s="59" t="n">
        <v>38</v>
      </c>
      <c r="B25" s="59" t="s">
        <v>108</v>
      </c>
      <c r="C25" s="61" t="b">
        <f aca="false">FALSE()</f>
        <v>0</v>
      </c>
      <c r="D25" s="59" t="n">
        <v>10</v>
      </c>
      <c r="E25" s="59" t="s">
        <v>32</v>
      </c>
      <c r="F25" s="59" t="s">
        <v>81</v>
      </c>
      <c r="G25" s="59" t="s">
        <v>82</v>
      </c>
      <c r="H25" s="59" t="n">
        <v>17.753</v>
      </c>
      <c r="I25" s="59" t="n">
        <v>23.513</v>
      </c>
      <c r="J25" s="59" t="n">
        <v>7.666</v>
      </c>
      <c r="K25" s="59"/>
      <c r="L25" s="59"/>
      <c r="M25" s="59"/>
      <c r="N25" s="61" t="b">
        <f aca="false">TRUE()</f>
        <v>1</v>
      </c>
      <c r="O25" s="59" t="n">
        <v>0.116</v>
      </c>
      <c r="P25" s="61" t="b">
        <f aca="false">TRUE()</f>
        <v>1</v>
      </c>
      <c r="Q25" s="59" t="n">
        <v>1</v>
      </c>
      <c r="R25" s="59" t="n">
        <v>40</v>
      </c>
      <c r="S25" s="59"/>
      <c r="T25" s="59"/>
      <c r="U25" s="59"/>
      <c r="V25" s="59" t="n">
        <v>88.084</v>
      </c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 t="s">
        <v>83</v>
      </c>
      <c r="AH25" s="59" t="s">
        <v>84</v>
      </c>
      <c r="AI25" s="59" t="s">
        <v>84</v>
      </c>
      <c r="AJ25" s="59"/>
    </row>
    <row r="26" customFormat="false" ht="15.75" hidden="false" customHeight="false" outlineLevel="0" collapsed="false">
      <c r="A26" s="59" t="n">
        <v>39</v>
      </c>
      <c r="B26" s="59" t="s">
        <v>109</v>
      </c>
      <c r="C26" s="61" t="b">
        <f aca="false">FALSE()</f>
        <v>0</v>
      </c>
      <c r="D26" s="59" t="n">
        <v>1</v>
      </c>
      <c r="E26" s="59" t="s">
        <v>32</v>
      </c>
      <c r="F26" s="59" t="s">
        <v>81</v>
      </c>
      <c r="G26" s="59" t="s">
        <v>82</v>
      </c>
      <c r="H26" s="59" t="n">
        <v>21.139</v>
      </c>
      <c r="I26" s="59" t="n">
        <v>23.513</v>
      </c>
      <c r="J26" s="59" t="n">
        <v>7.666</v>
      </c>
      <c r="K26" s="59"/>
      <c r="L26" s="59"/>
      <c r="M26" s="59"/>
      <c r="N26" s="61" t="b">
        <f aca="false">TRUE()</f>
        <v>1</v>
      </c>
      <c r="O26" s="59" t="n">
        <v>0.116</v>
      </c>
      <c r="P26" s="61" t="b">
        <f aca="false">TRUE()</f>
        <v>1</v>
      </c>
      <c r="Q26" s="59" t="n">
        <v>1</v>
      </c>
      <c r="R26" s="59" t="n">
        <v>40</v>
      </c>
      <c r="S26" s="59"/>
      <c r="T26" s="59"/>
      <c r="U26" s="59"/>
      <c r="V26" s="59" t="n">
        <v>87.987</v>
      </c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 t="s">
        <v>83</v>
      </c>
      <c r="AH26" s="59" t="s">
        <v>84</v>
      </c>
      <c r="AI26" s="59" t="s">
        <v>84</v>
      </c>
      <c r="AJ26" s="59"/>
    </row>
    <row r="27" customFormat="false" ht="15.75" hidden="false" customHeight="false" outlineLevel="0" collapsed="false">
      <c r="A27" s="59" t="n">
        <v>40</v>
      </c>
      <c r="B27" s="59" t="s">
        <v>110</v>
      </c>
      <c r="C27" s="61" t="b">
        <f aca="false">FALSE()</f>
        <v>0</v>
      </c>
      <c r="D27" s="59" t="n">
        <v>0.1</v>
      </c>
      <c r="E27" s="59" t="s">
        <v>32</v>
      </c>
      <c r="F27" s="59" t="s">
        <v>81</v>
      </c>
      <c r="G27" s="59" t="s">
        <v>82</v>
      </c>
      <c r="H27" s="59" t="n">
        <v>24.767</v>
      </c>
      <c r="I27" s="59" t="n">
        <v>23.513</v>
      </c>
      <c r="J27" s="59" t="n">
        <v>7.666</v>
      </c>
      <c r="K27" s="59"/>
      <c r="L27" s="59"/>
      <c r="M27" s="59"/>
      <c r="N27" s="61" t="b">
        <f aca="false">TRUE()</f>
        <v>1</v>
      </c>
      <c r="O27" s="59" t="n">
        <v>0.116</v>
      </c>
      <c r="P27" s="61" t="b">
        <f aca="false">TRUE()</f>
        <v>1</v>
      </c>
      <c r="Q27" s="59" t="n">
        <v>1</v>
      </c>
      <c r="R27" s="59" t="n">
        <v>40</v>
      </c>
      <c r="S27" s="59"/>
      <c r="T27" s="59"/>
      <c r="U27" s="59"/>
      <c r="V27" s="59" t="n">
        <v>87.889</v>
      </c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 t="s">
        <v>83</v>
      </c>
      <c r="AH27" s="59" t="s">
        <v>84</v>
      </c>
      <c r="AI27" s="59" t="s">
        <v>84</v>
      </c>
      <c r="AJ27" s="59"/>
    </row>
    <row r="28" customFormat="false" ht="15.75" hidden="false" customHeight="false" outlineLevel="0" collapsed="false">
      <c r="A28" s="59" t="n">
        <v>41</v>
      </c>
      <c r="B28" s="59" t="s">
        <v>111</v>
      </c>
      <c r="C28" s="61" t="b">
        <f aca="false">FALSE()</f>
        <v>0</v>
      </c>
      <c r="D28" s="59" t="s">
        <v>3</v>
      </c>
      <c r="E28" s="59" t="s">
        <v>32</v>
      </c>
      <c r="F28" s="59" t="s">
        <v>81</v>
      </c>
      <c r="G28" s="59" t="s">
        <v>82</v>
      </c>
      <c r="H28" s="59" t="n">
        <v>14.676</v>
      </c>
      <c r="I28" s="59" t="n">
        <v>23.513</v>
      </c>
      <c r="J28" s="59" t="n">
        <v>7.666</v>
      </c>
      <c r="K28" s="59"/>
      <c r="L28" s="59"/>
      <c r="M28" s="59"/>
      <c r="N28" s="61" t="b">
        <f aca="false">TRUE()</f>
        <v>1</v>
      </c>
      <c r="O28" s="59" t="n">
        <v>0.116</v>
      </c>
      <c r="P28" s="61" t="b">
        <f aca="false">TRUE()</f>
        <v>1</v>
      </c>
      <c r="Q28" s="59" t="n">
        <v>1</v>
      </c>
      <c r="R28" s="59" t="n">
        <v>40</v>
      </c>
      <c r="S28" s="59"/>
      <c r="T28" s="59"/>
      <c r="U28" s="59"/>
      <c r="V28" s="59" t="n">
        <v>88.084</v>
      </c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 t="s">
        <v>83</v>
      </c>
      <c r="AH28" s="59" t="s">
        <v>84</v>
      </c>
      <c r="AI28" s="59" t="s">
        <v>84</v>
      </c>
      <c r="AJ28" s="59"/>
    </row>
    <row r="29" customFormat="false" ht="15.75" hidden="false" customHeight="false" outlineLevel="0" collapsed="false">
      <c r="A29" s="59" t="n">
        <v>42</v>
      </c>
      <c r="B29" s="59" t="s">
        <v>112</v>
      </c>
      <c r="C29" s="61" t="b">
        <f aca="false">FALSE()</f>
        <v>0</v>
      </c>
      <c r="D29" s="59" t="s">
        <v>4</v>
      </c>
      <c r="E29" s="59" t="s">
        <v>32</v>
      </c>
      <c r="F29" s="59" t="s">
        <v>81</v>
      </c>
      <c r="G29" s="59" t="s">
        <v>82</v>
      </c>
      <c r="H29" s="59" t="n">
        <v>14.882</v>
      </c>
      <c r="I29" s="59" t="n">
        <v>23.513</v>
      </c>
      <c r="J29" s="59" t="n">
        <v>7.666</v>
      </c>
      <c r="K29" s="59"/>
      <c r="L29" s="59"/>
      <c r="M29" s="59"/>
      <c r="N29" s="61" t="b">
        <f aca="false">TRUE()</f>
        <v>1</v>
      </c>
      <c r="O29" s="59" t="n">
        <v>0.116</v>
      </c>
      <c r="P29" s="61" t="b">
        <f aca="false">TRUE()</f>
        <v>1</v>
      </c>
      <c r="Q29" s="59" t="n">
        <v>1</v>
      </c>
      <c r="R29" s="59" t="n">
        <v>40</v>
      </c>
      <c r="S29" s="59"/>
      <c r="T29" s="59"/>
      <c r="U29" s="59"/>
      <c r="V29" s="59" t="n">
        <v>88.084</v>
      </c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 t="s">
        <v>83</v>
      </c>
      <c r="AH29" s="59" t="s">
        <v>84</v>
      </c>
      <c r="AI29" s="59" t="s">
        <v>84</v>
      </c>
      <c r="AJ29" s="59"/>
    </row>
    <row r="30" customFormat="false" ht="15.75" hidden="false" customHeight="false" outlineLevel="0" collapsed="false">
      <c r="A30" s="59" t="n">
        <v>43</v>
      </c>
      <c r="B30" s="59" t="s">
        <v>113</v>
      </c>
      <c r="C30" s="61" t="b">
        <f aca="false">FALSE()</f>
        <v>0</v>
      </c>
      <c r="D30" s="59" t="s">
        <v>5</v>
      </c>
      <c r="E30" s="59" t="s">
        <v>32</v>
      </c>
      <c r="F30" s="59" t="s">
        <v>81</v>
      </c>
      <c r="G30" s="59" t="s">
        <v>82</v>
      </c>
      <c r="H30" s="59" t="n">
        <v>15.27</v>
      </c>
      <c r="I30" s="59" t="n">
        <v>23.513</v>
      </c>
      <c r="J30" s="59" t="n">
        <v>7.666</v>
      </c>
      <c r="K30" s="59"/>
      <c r="L30" s="59"/>
      <c r="M30" s="59"/>
      <c r="N30" s="61" t="b">
        <f aca="false">TRUE()</f>
        <v>1</v>
      </c>
      <c r="O30" s="59" t="n">
        <v>0.116</v>
      </c>
      <c r="P30" s="61" t="b">
        <f aca="false">TRUE()</f>
        <v>1</v>
      </c>
      <c r="Q30" s="59" t="n">
        <v>1</v>
      </c>
      <c r="R30" s="59" t="n">
        <v>40</v>
      </c>
      <c r="S30" s="59"/>
      <c r="T30" s="59"/>
      <c r="U30" s="59"/>
      <c r="V30" s="59" t="n">
        <v>88.084</v>
      </c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 t="s">
        <v>83</v>
      </c>
      <c r="AH30" s="59" t="s">
        <v>84</v>
      </c>
      <c r="AI30" s="59" t="s">
        <v>84</v>
      </c>
      <c r="AJ30" s="59"/>
    </row>
    <row r="31" customFormat="false" ht="15.75" hidden="false" customHeight="false" outlineLevel="0" collapsed="false">
      <c r="A31" s="59" t="n">
        <v>44</v>
      </c>
      <c r="B31" s="59" t="s">
        <v>114</v>
      </c>
      <c r="C31" s="61" t="b">
        <f aca="false">FALSE()</f>
        <v>0</v>
      </c>
      <c r="D31" s="59" t="s">
        <v>6</v>
      </c>
      <c r="E31" s="59" t="s">
        <v>32</v>
      </c>
      <c r="F31" s="59" t="s">
        <v>81</v>
      </c>
      <c r="G31" s="59" t="s">
        <v>82</v>
      </c>
      <c r="H31" s="59" t="n">
        <v>16.283</v>
      </c>
      <c r="I31" s="59" t="n">
        <v>23.513</v>
      </c>
      <c r="J31" s="59" t="n">
        <v>7.666</v>
      </c>
      <c r="K31" s="59"/>
      <c r="L31" s="59"/>
      <c r="M31" s="59"/>
      <c r="N31" s="61" t="b">
        <f aca="false">TRUE()</f>
        <v>1</v>
      </c>
      <c r="O31" s="59" t="n">
        <v>0.116</v>
      </c>
      <c r="P31" s="61" t="b">
        <f aca="false">TRUE()</f>
        <v>1</v>
      </c>
      <c r="Q31" s="59" t="n">
        <v>1</v>
      </c>
      <c r="R31" s="59" t="n">
        <v>40</v>
      </c>
      <c r="S31" s="59"/>
      <c r="T31" s="59"/>
      <c r="U31" s="59"/>
      <c r="V31" s="59" t="n">
        <v>88.084</v>
      </c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 t="s">
        <v>83</v>
      </c>
      <c r="AH31" s="59" t="s">
        <v>84</v>
      </c>
      <c r="AI31" s="59" t="s">
        <v>84</v>
      </c>
      <c r="AJ31" s="59"/>
    </row>
    <row r="32" customFormat="false" ht="15.75" hidden="false" customHeight="false" outlineLevel="0" collapsed="false">
      <c r="A32" s="59" t="n">
        <v>45</v>
      </c>
      <c r="B32" s="59" t="s">
        <v>115</v>
      </c>
      <c r="C32" s="61" t="b">
        <f aca="false">FALSE()</f>
        <v>0</v>
      </c>
      <c r="D32" s="59" t="s">
        <v>7</v>
      </c>
      <c r="E32" s="59" t="s">
        <v>32</v>
      </c>
      <c r="F32" s="59" t="s">
        <v>81</v>
      </c>
      <c r="G32" s="59" t="s">
        <v>82</v>
      </c>
      <c r="H32" s="59" t="n">
        <v>17.638</v>
      </c>
      <c r="I32" s="59" t="n">
        <v>23.513</v>
      </c>
      <c r="J32" s="59" t="n">
        <v>7.666</v>
      </c>
      <c r="K32" s="59"/>
      <c r="L32" s="59"/>
      <c r="M32" s="59"/>
      <c r="N32" s="61" t="b">
        <f aca="false">TRUE()</f>
        <v>1</v>
      </c>
      <c r="O32" s="59" t="n">
        <v>0.116</v>
      </c>
      <c r="P32" s="61" t="b">
        <f aca="false">TRUE()</f>
        <v>1</v>
      </c>
      <c r="Q32" s="59" t="n">
        <v>1</v>
      </c>
      <c r="R32" s="59" t="n">
        <v>40</v>
      </c>
      <c r="S32" s="59"/>
      <c r="T32" s="59"/>
      <c r="U32" s="59"/>
      <c r="V32" s="59" t="n">
        <v>88.084</v>
      </c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 t="s">
        <v>83</v>
      </c>
      <c r="AH32" s="59" t="s">
        <v>84</v>
      </c>
      <c r="AI32" s="59" t="s">
        <v>84</v>
      </c>
      <c r="AJ32" s="59"/>
    </row>
    <row r="33" customFormat="false" ht="15.75" hidden="false" customHeight="false" outlineLevel="0" collapsed="false">
      <c r="A33" s="59" t="n">
        <v>46</v>
      </c>
      <c r="B33" s="59" t="s">
        <v>116</v>
      </c>
      <c r="C33" s="61" t="b">
        <f aca="false">FALSE()</f>
        <v>0</v>
      </c>
      <c r="D33" s="59" t="s">
        <v>8</v>
      </c>
      <c r="E33" s="59" t="s">
        <v>32</v>
      </c>
      <c r="F33" s="59" t="s">
        <v>81</v>
      </c>
      <c r="G33" s="59" t="s">
        <v>82</v>
      </c>
      <c r="H33" s="59" t="n">
        <v>15.266</v>
      </c>
      <c r="I33" s="59" t="n">
        <v>23.513</v>
      </c>
      <c r="J33" s="59" t="n">
        <v>7.666</v>
      </c>
      <c r="K33" s="59"/>
      <c r="L33" s="59"/>
      <c r="M33" s="59"/>
      <c r="N33" s="61" t="b">
        <f aca="false">TRUE()</f>
        <v>1</v>
      </c>
      <c r="O33" s="59" t="n">
        <v>0.116</v>
      </c>
      <c r="P33" s="61" t="b">
        <f aca="false">TRUE()</f>
        <v>1</v>
      </c>
      <c r="Q33" s="59" t="n">
        <v>1</v>
      </c>
      <c r="R33" s="59" t="n">
        <v>40</v>
      </c>
      <c r="S33" s="59"/>
      <c r="T33" s="59"/>
      <c r="U33" s="59"/>
      <c r="V33" s="59" t="n">
        <v>88.084</v>
      </c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 t="s">
        <v>83</v>
      </c>
      <c r="AH33" s="59" t="s">
        <v>84</v>
      </c>
      <c r="AI33" s="59" t="s">
        <v>84</v>
      </c>
      <c r="AJ33" s="59"/>
    </row>
    <row r="34" customFormat="false" ht="15.75" hidden="false" customHeight="false" outlineLevel="0" collapsed="false">
      <c r="A34" s="59" t="n">
        <v>47</v>
      </c>
      <c r="B34" s="59" t="s">
        <v>117</v>
      </c>
      <c r="C34" s="61" t="b">
        <f aca="false">FALSE()</f>
        <v>0</v>
      </c>
      <c r="D34" s="59" t="s">
        <v>9</v>
      </c>
      <c r="E34" s="59" t="s">
        <v>32</v>
      </c>
      <c r="F34" s="59" t="s">
        <v>81</v>
      </c>
      <c r="G34" s="59" t="s">
        <v>82</v>
      </c>
      <c r="H34" s="59" t="n">
        <v>15.648</v>
      </c>
      <c r="I34" s="59" t="n">
        <v>23.513</v>
      </c>
      <c r="J34" s="59" t="n">
        <v>7.666</v>
      </c>
      <c r="K34" s="59"/>
      <c r="L34" s="59"/>
      <c r="M34" s="59"/>
      <c r="N34" s="61" t="b">
        <f aca="false">TRUE()</f>
        <v>1</v>
      </c>
      <c r="O34" s="59" t="n">
        <v>0.116</v>
      </c>
      <c r="P34" s="61" t="b">
        <f aca="false">TRUE()</f>
        <v>1</v>
      </c>
      <c r="Q34" s="59" t="n">
        <v>1</v>
      </c>
      <c r="R34" s="59" t="n">
        <v>40</v>
      </c>
      <c r="S34" s="59"/>
      <c r="T34" s="59"/>
      <c r="U34" s="59"/>
      <c r="V34" s="59" t="n">
        <v>87.987</v>
      </c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 t="s">
        <v>83</v>
      </c>
      <c r="AH34" s="59" t="s">
        <v>84</v>
      </c>
      <c r="AI34" s="59" t="s">
        <v>84</v>
      </c>
      <c r="AJ34" s="59"/>
    </row>
    <row r="35" customFormat="false" ht="15.75" hidden="false" customHeight="false" outlineLevel="0" collapsed="false">
      <c r="A35" s="59" t="n">
        <v>48</v>
      </c>
      <c r="B35" s="59" t="s">
        <v>118</v>
      </c>
      <c r="C35" s="61" t="b">
        <f aca="false">FALSE()</f>
        <v>0</v>
      </c>
      <c r="D35" s="59" t="s">
        <v>10</v>
      </c>
      <c r="E35" s="59" t="s">
        <v>32</v>
      </c>
      <c r="F35" s="59" t="s">
        <v>81</v>
      </c>
      <c r="G35" s="59" t="s">
        <v>82</v>
      </c>
      <c r="H35" s="59" t="n">
        <v>15.767</v>
      </c>
      <c r="I35" s="59" t="n">
        <v>23.513</v>
      </c>
      <c r="J35" s="59" t="n">
        <v>7.666</v>
      </c>
      <c r="K35" s="59"/>
      <c r="L35" s="59"/>
      <c r="M35" s="59"/>
      <c r="N35" s="61" t="b">
        <f aca="false">TRUE()</f>
        <v>1</v>
      </c>
      <c r="O35" s="59" t="n">
        <v>0.116</v>
      </c>
      <c r="P35" s="61" t="b">
        <f aca="false">TRUE()</f>
        <v>1</v>
      </c>
      <c r="Q35" s="59" t="n">
        <v>1</v>
      </c>
      <c r="R35" s="59" t="n">
        <v>40</v>
      </c>
      <c r="S35" s="59"/>
      <c r="T35" s="59"/>
      <c r="U35" s="59"/>
      <c r="V35" s="59" t="n">
        <v>87.987</v>
      </c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 t="s">
        <v>83</v>
      </c>
      <c r="AH35" s="59" t="s">
        <v>84</v>
      </c>
      <c r="AI35" s="59" t="s">
        <v>84</v>
      </c>
      <c r="AJ35" s="59"/>
    </row>
    <row r="36" customFormat="false" ht="15.75" hidden="false" customHeight="false" outlineLevel="0" collapsed="false">
      <c r="A36" s="59" t="n">
        <v>53</v>
      </c>
      <c r="B36" s="59" t="s">
        <v>119</v>
      </c>
      <c r="C36" s="61" t="b">
        <f aca="false">FALSE()</f>
        <v>0</v>
      </c>
      <c r="D36" s="59" t="s">
        <v>11</v>
      </c>
      <c r="E36" s="59" t="s">
        <v>32</v>
      </c>
      <c r="F36" s="59" t="s">
        <v>81</v>
      </c>
      <c r="G36" s="59" t="s">
        <v>82</v>
      </c>
      <c r="H36" s="59" t="n">
        <v>15.655</v>
      </c>
      <c r="I36" s="59" t="n">
        <v>23.513</v>
      </c>
      <c r="J36" s="59" t="n">
        <v>7.666</v>
      </c>
      <c r="K36" s="59"/>
      <c r="L36" s="59"/>
      <c r="M36" s="59"/>
      <c r="N36" s="61" t="b">
        <f aca="false">TRUE()</f>
        <v>1</v>
      </c>
      <c r="O36" s="59" t="n">
        <v>0.116</v>
      </c>
      <c r="P36" s="61" t="b">
        <f aca="false">TRUE()</f>
        <v>1</v>
      </c>
      <c r="Q36" s="59" t="n">
        <v>1</v>
      </c>
      <c r="R36" s="59" t="n">
        <v>40</v>
      </c>
      <c r="S36" s="59"/>
      <c r="T36" s="59"/>
      <c r="U36" s="59"/>
      <c r="V36" s="59" t="n">
        <v>87.987</v>
      </c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 t="s">
        <v>83</v>
      </c>
      <c r="AH36" s="59" t="s">
        <v>84</v>
      </c>
      <c r="AI36" s="59" t="s">
        <v>84</v>
      </c>
      <c r="AJ36" s="59"/>
    </row>
    <row r="37" customFormat="false" ht="15.75" hidden="false" customHeight="false" outlineLevel="0" collapsed="false">
      <c r="A37" s="59" t="n">
        <v>54</v>
      </c>
      <c r="B37" s="59" t="s">
        <v>120</v>
      </c>
      <c r="C37" s="61" t="b">
        <f aca="false">FALSE()</f>
        <v>0</v>
      </c>
      <c r="D37" s="59" t="s">
        <v>23</v>
      </c>
      <c r="E37" s="59" t="s">
        <v>32</v>
      </c>
      <c r="F37" s="59" t="s">
        <v>81</v>
      </c>
      <c r="G37" s="59" t="s">
        <v>82</v>
      </c>
      <c r="H37" s="59" t="n">
        <v>15.853</v>
      </c>
      <c r="I37" s="59" t="n">
        <v>23.513</v>
      </c>
      <c r="J37" s="59" t="n">
        <v>7.666</v>
      </c>
      <c r="K37" s="59"/>
      <c r="L37" s="59"/>
      <c r="M37" s="59"/>
      <c r="N37" s="61" t="b">
        <f aca="false">TRUE()</f>
        <v>1</v>
      </c>
      <c r="O37" s="59" t="n">
        <v>0.116</v>
      </c>
      <c r="P37" s="61" t="b">
        <f aca="false">TRUE()</f>
        <v>1</v>
      </c>
      <c r="Q37" s="59" t="n">
        <v>1</v>
      </c>
      <c r="R37" s="59" t="n">
        <v>40</v>
      </c>
      <c r="S37" s="59"/>
      <c r="T37" s="59"/>
      <c r="U37" s="59"/>
      <c r="V37" s="59" t="n">
        <v>88.084</v>
      </c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 t="s">
        <v>83</v>
      </c>
      <c r="AH37" s="59" t="s">
        <v>84</v>
      </c>
      <c r="AI37" s="59" t="s">
        <v>84</v>
      </c>
      <c r="AJ37" s="59"/>
    </row>
    <row r="38" customFormat="false" ht="15.75" hidden="false" customHeight="false" outlineLevel="0" collapsed="false">
      <c r="A38" s="59" t="n">
        <v>55</v>
      </c>
      <c r="B38" s="59" t="s">
        <v>121</v>
      </c>
      <c r="C38" s="61" t="b">
        <f aca="false">FALSE()</f>
        <v>0</v>
      </c>
      <c r="D38" s="59" t="s">
        <v>24</v>
      </c>
      <c r="E38" s="59" t="s">
        <v>32</v>
      </c>
      <c r="F38" s="59" t="s">
        <v>81</v>
      </c>
      <c r="G38" s="59" t="s">
        <v>82</v>
      </c>
      <c r="H38" s="59" t="n">
        <v>15.43</v>
      </c>
      <c r="I38" s="59" t="n">
        <v>23.513</v>
      </c>
      <c r="J38" s="59" t="n">
        <v>7.666</v>
      </c>
      <c r="K38" s="59"/>
      <c r="L38" s="59"/>
      <c r="M38" s="59"/>
      <c r="N38" s="61" t="b">
        <f aca="false">TRUE()</f>
        <v>1</v>
      </c>
      <c r="O38" s="59" t="n">
        <v>0.116</v>
      </c>
      <c r="P38" s="61" t="b">
        <f aca="false">TRUE()</f>
        <v>1</v>
      </c>
      <c r="Q38" s="59" t="n">
        <v>1</v>
      </c>
      <c r="R38" s="59" t="n">
        <v>40</v>
      </c>
      <c r="S38" s="59"/>
      <c r="T38" s="59"/>
      <c r="U38" s="59"/>
      <c r="V38" s="59" t="n">
        <v>88.181</v>
      </c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 t="s">
        <v>83</v>
      </c>
      <c r="AH38" s="59" t="s">
        <v>84</v>
      </c>
      <c r="AI38" s="59" t="s">
        <v>84</v>
      </c>
      <c r="AJ38" s="59"/>
    </row>
    <row r="39" customFormat="false" ht="15.75" hidden="false" customHeight="false" outlineLevel="0" collapsed="false">
      <c r="A39" s="59" t="n">
        <v>56</v>
      </c>
      <c r="B39" s="59" t="s">
        <v>122</v>
      </c>
      <c r="C39" s="61" t="b">
        <f aca="false">FALSE()</f>
        <v>0</v>
      </c>
      <c r="D39" s="59" t="s">
        <v>25</v>
      </c>
      <c r="E39" s="59" t="s">
        <v>32</v>
      </c>
      <c r="F39" s="59" t="s">
        <v>81</v>
      </c>
      <c r="G39" s="59" t="s">
        <v>82</v>
      </c>
      <c r="H39" s="59" t="n">
        <v>15.741</v>
      </c>
      <c r="I39" s="59" t="n">
        <v>23.513</v>
      </c>
      <c r="J39" s="59" t="n">
        <v>7.666</v>
      </c>
      <c r="K39" s="59"/>
      <c r="L39" s="59"/>
      <c r="M39" s="59"/>
      <c r="N39" s="61" t="b">
        <f aca="false">TRUE()</f>
        <v>1</v>
      </c>
      <c r="O39" s="59" t="n">
        <v>0.116</v>
      </c>
      <c r="P39" s="61" t="b">
        <f aca="false">TRUE()</f>
        <v>1</v>
      </c>
      <c r="Q39" s="59" t="n">
        <v>1</v>
      </c>
      <c r="R39" s="59" t="n">
        <v>40</v>
      </c>
      <c r="S39" s="59"/>
      <c r="T39" s="59"/>
      <c r="U39" s="59"/>
      <c r="V39" s="59" t="n">
        <v>87.987</v>
      </c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 t="s">
        <v>83</v>
      </c>
      <c r="AH39" s="59" t="s">
        <v>84</v>
      </c>
      <c r="AI39" s="59" t="s">
        <v>84</v>
      </c>
      <c r="AJ39" s="59"/>
    </row>
    <row r="40" customFormat="false" ht="15.75" hidden="false" customHeight="false" outlineLevel="0" collapsed="false">
      <c r="A40" s="59" t="n">
        <v>57</v>
      </c>
      <c r="B40" s="59" t="s">
        <v>123</v>
      </c>
      <c r="C40" s="61" t="b">
        <f aca="false">FALSE()</f>
        <v>0</v>
      </c>
      <c r="D40" s="59" t="s">
        <v>26</v>
      </c>
      <c r="E40" s="59" t="s">
        <v>32</v>
      </c>
      <c r="F40" s="59" t="s">
        <v>81</v>
      </c>
      <c r="G40" s="59" t="s">
        <v>82</v>
      </c>
      <c r="H40" s="59" t="n">
        <v>15.491</v>
      </c>
      <c r="I40" s="59" t="n">
        <v>23.513</v>
      </c>
      <c r="J40" s="59" t="n">
        <v>7.666</v>
      </c>
      <c r="K40" s="59"/>
      <c r="L40" s="59"/>
      <c r="M40" s="59"/>
      <c r="N40" s="61" t="b">
        <f aca="false">TRUE()</f>
        <v>1</v>
      </c>
      <c r="O40" s="59" t="n">
        <v>0.116</v>
      </c>
      <c r="P40" s="61" t="b">
        <f aca="false">TRUE()</f>
        <v>1</v>
      </c>
      <c r="Q40" s="59" t="n">
        <v>1</v>
      </c>
      <c r="R40" s="59" t="n">
        <v>40</v>
      </c>
      <c r="S40" s="59"/>
      <c r="T40" s="59"/>
      <c r="U40" s="59"/>
      <c r="V40" s="59" t="n">
        <v>87.987</v>
      </c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 t="s">
        <v>83</v>
      </c>
      <c r="AH40" s="59" t="s">
        <v>84</v>
      </c>
      <c r="AI40" s="59" t="s">
        <v>84</v>
      </c>
      <c r="AJ40" s="59"/>
    </row>
    <row r="41" customFormat="false" ht="15.75" hidden="false" customHeight="false" outlineLevel="0" collapsed="false">
      <c r="A41" s="59" t="n">
        <v>58</v>
      </c>
      <c r="B41" s="59" t="s">
        <v>124</v>
      </c>
      <c r="C41" s="61" t="b">
        <f aca="false">FALSE()</f>
        <v>0</v>
      </c>
      <c r="D41" s="59" t="s">
        <v>27</v>
      </c>
      <c r="E41" s="59" t="s">
        <v>32</v>
      </c>
      <c r="F41" s="59" t="s">
        <v>81</v>
      </c>
      <c r="G41" s="59" t="s">
        <v>82</v>
      </c>
      <c r="H41" s="59" t="n">
        <v>14.508</v>
      </c>
      <c r="I41" s="59" t="n">
        <v>23.513</v>
      </c>
      <c r="J41" s="59" t="n">
        <v>7.666</v>
      </c>
      <c r="K41" s="59"/>
      <c r="L41" s="59"/>
      <c r="M41" s="59"/>
      <c r="N41" s="61" t="b">
        <f aca="false">TRUE()</f>
        <v>1</v>
      </c>
      <c r="O41" s="59" t="n">
        <v>0.116</v>
      </c>
      <c r="P41" s="61" t="b">
        <f aca="false">TRUE()</f>
        <v>1</v>
      </c>
      <c r="Q41" s="59" t="n">
        <v>1</v>
      </c>
      <c r="R41" s="59" t="n">
        <v>40</v>
      </c>
      <c r="S41" s="59"/>
      <c r="T41" s="59"/>
      <c r="U41" s="59"/>
      <c r="V41" s="59" t="n">
        <v>88.084</v>
      </c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 t="s">
        <v>83</v>
      </c>
      <c r="AH41" s="59" t="s">
        <v>84</v>
      </c>
      <c r="AI41" s="59" t="s">
        <v>84</v>
      </c>
      <c r="AJ41" s="59"/>
    </row>
    <row r="42" customFormat="false" ht="15.75" hidden="false" customHeight="false" outlineLevel="0" collapsed="false">
      <c r="A42" s="59" t="n">
        <v>59</v>
      </c>
      <c r="B42" s="59" t="s">
        <v>125</v>
      </c>
      <c r="C42" s="61" t="b">
        <f aca="false">FALSE()</f>
        <v>0</v>
      </c>
      <c r="D42" s="59" t="s">
        <v>28</v>
      </c>
      <c r="E42" s="59" t="s">
        <v>32</v>
      </c>
      <c r="F42" s="59" t="s">
        <v>81</v>
      </c>
      <c r="G42" s="59" t="s">
        <v>82</v>
      </c>
      <c r="H42" s="59" t="n">
        <v>15.261</v>
      </c>
      <c r="I42" s="59" t="n">
        <v>23.513</v>
      </c>
      <c r="J42" s="59" t="n">
        <v>7.666</v>
      </c>
      <c r="K42" s="59"/>
      <c r="L42" s="59"/>
      <c r="M42" s="59"/>
      <c r="N42" s="61" t="b">
        <f aca="false">TRUE()</f>
        <v>1</v>
      </c>
      <c r="O42" s="59" t="n">
        <v>0.116</v>
      </c>
      <c r="P42" s="61" t="b">
        <f aca="false">TRUE()</f>
        <v>1</v>
      </c>
      <c r="Q42" s="59" t="n">
        <v>1</v>
      </c>
      <c r="R42" s="59" t="n">
        <v>40</v>
      </c>
      <c r="S42" s="59"/>
      <c r="T42" s="59"/>
      <c r="U42" s="59"/>
      <c r="V42" s="59" t="n">
        <v>87.987</v>
      </c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 t="s">
        <v>83</v>
      </c>
      <c r="AH42" s="59" t="s">
        <v>84</v>
      </c>
      <c r="AI42" s="59" t="s">
        <v>84</v>
      </c>
      <c r="AJ42" s="59"/>
    </row>
    <row r="43" customFormat="false" ht="15.75" hidden="false" customHeight="false" outlineLevel="0" collapsed="false">
      <c r="A43" s="59" t="n">
        <v>60</v>
      </c>
      <c r="B43" s="59" t="s">
        <v>126</v>
      </c>
      <c r="C43" s="61" t="b">
        <f aca="false">FALSE()</f>
        <v>0</v>
      </c>
      <c r="D43" s="59" t="s">
        <v>29</v>
      </c>
      <c r="E43" s="59" t="s">
        <v>32</v>
      </c>
      <c r="F43" s="59" t="s">
        <v>81</v>
      </c>
      <c r="G43" s="59" t="s">
        <v>82</v>
      </c>
      <c r="H43" s="59" t="n">
        <v>15.571</v>
      </c>
      <c r="I43" s="59" t="n">
        <v>23.513</v>
      </c>
      <c r="J43" s="59" t="n">
        <v>7.666</v>
      </c>
      <c r="K43" s="59"/>
      <c r="L43" s="59"/>
      <c r="M43" s="59"/>
      <c r="N43" s="61" t="b">
        <f aca="false">TRUE()</f>
        <v>1</v>
      </c>
      <c r="O43" s="59" t="n">
        <v>0.116</v>
      </c>
      <c r="P43" s="61" t="b">
        <f aca="false">TRUE()</f>
        <v>1</v>
      </c>
      <c r="Q43" s="59" t="n">
        <v>1</v>
      </c>
      <c r="R43" s="59" t="n">
        <v>40</v>
      </c>
      <c r="S43" s="59"/>
      <c r="T43" s="59"/>
      <c r="U43" s="59"/>
      <c r="V43" s="59" t="n">
        <v>87.987</v>
      </c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 t="s">
        <v>83</v>
      </c>
      <c r="AH43" s="59" t="s">
        <v>84</v>
      </c>
      <c r="AI43" s="59" t="s">
        <v>84</v>
      </c>
      <c r="AJ43" s="59"/>
    </row>
    <row r="44" customFormat="false" ht="15.75" hidden="false" customHeight="false" outlineLevel="0" collapsed="false">
      <c r="A44" s="59" t="n">
        <v>65</v>
      </c>
      <c r="B44" s="59" t="s">
        <v>127</v>
      </c>
      <c r="C44" s="61" t="b">
        <f aca="false">FALSE()</f>
        <v>0</v>
      </c>
      <c r="D44" s="59" t="s">
        <v>30</v>
      </c>
      <c r="E44" s="59" t="s">
        <v>32</v>
      </c>
      <c r="F44" s="59" t="s">
        <v>81</v>
      </c>
      <c r="G44" s="59" t="s">
        <v>82</v>
      </c>
      <c r="H44" s="59" t="n">
        <v>16.341</v>
      </c>
      <c r="I44" s="59" t="n">
        <v>23.513</v>
      </c>
      <c r="J44" s="59" t="n">
        <v>7.666</v>
      </c>
      <c r="K44" s="59"/>
      <c r="L44" s="59"/>
      <c r="M44" s="59"/>
      <c r="N44" s="61" t="b">
        <f aca="false">TRUE()</f>
        <v>1</v>
      </c>
      <c r="O44" s="59" t="n">
        <v>0.116</v>
      </c>
      <c r="P44" s="61" t="b">
        <f aca="false">TRUE()</f>
        <v>1</v>
      </c>
      <c r="Q44" s="59" t="n">
        <v>1</v>
      </c>
      <c r="R44" s="59" t="n">
        <v>40</v>
      </c>
      <c r="S44" s="59"/>
      <c r="T44" s="59"/>
      <c r="U44" s="59"/>
      <c r="V44" s="59" t="n">
        <v>87.987</v>
      </c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 t="s">
        <v>83</v>
      </c>
      <c r="AH44" s="59" t="s">
        <v>84</v>
      </c>
      <c r="AI44" s="59" t="s">
        <v>84</v>
      </c>
      <c r="AJ44" s="59"/>
    </row>
    <row r="45" customFormat="false" ht="15.75" hidden="false" customHeight="false" outlineLevel="0" collapsed="false">
      <c r="A45" s="59" t="n">
        <v>66</v>
      </c>
      <c r="B45" s="59" t="s">
        <v>128</v>
      </c>
      <c r="C45" s="61" t="b">
        <f aca="false">FALSE()</f>
        <v>0</v>
      </c>
      <c r="D45" s="59" t="s">
        <v>31</v>
      </c>
      <c r="E45" s="59" t="s">
        <v>32</v>
      </c>
      <c r="F45" s="59" t="s">
        <v>81</v>
      </c>
      <c r="G45" s="59" t="s">
        <v>82</v>
      </c>
      <c r="H45" s="59" t="n">
        <v>16.238</v>
      </c>
      <c r="I45" s="59" t="n">
        <v>23.513</v>
      </c>
      <c r="J45" s="59" t="n">
        <v>7.666</v>
      </c>
      <c r="K45" s="59"/>
      <c r="L45" s="59"/>
      <c r="M45" s="59"/>
      <c r="N45" s="61" t="b">
        <f aca="false">TRUE()</f>
        <v>1</v>
      </c>
      <c r="O45" s="59" t="n">
        <v>0.116</v>
      </c>
      <c r="P45" s="61" t="b">
        <f aca="false">TRUE()</f>
        <v>1</v>
      </c>
      <c r="Q45" s="59" t="n">
        <v>1</v>
      </c>
      <c r="R45" s="59" t="n">
        <v>40</v>
      </c>
      <c r="S45" s="59"/>
      <c r="T45" s="59"/>
      <c r="U45" s="59"/>
      <c r="V45" s="59" t="n">
        <v>87.987</v>
      </c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 t="s">
        <v>83</v>
      </c>
      <c r="AH45" s="59" t="s">
        <v>84</v>
      </c>
      <c r="AI45" s="59" t="s">
        <v>84</v>
      </c>
      <c r="AJ45" s="59"/>
    </row>
    <row r="46" customFormat="false" ht="15.75" hidden="false" customHeight="false" outlineLevel="0" collapsed="false">
      <c r="A46" s="59" t="n">
        <v>1</v>
      </c>
      <c r="B46" s="59" t="s">
        <v>80</v>
      </c>
      <c r="C46" s="61" t="b">
        <f aca="false">FALSE()</f>
        <v>0</v>
      </c>
      <c r="D46" s="59" t="n">
        <v>100</v>
      </c>
      <c r="E46" s="59" t="s">
        <v>33</v>
      </c>
      <c r="F46" s="59" t="s">
        <v>81</v>
      </c>
      <c r="G46" s="59" t="s">
        <v>82</v>
      </c>
      <c r="H46" s="59" t="n">
        <v>22.055</v>
      </c>
      <c r="I46" s="59" t="n">
        <v>27.957</v>
      </c>
      <c r="J46" s="59" t="n">
        <v>4.652</v>
      </c>
      <c r="K46" s="59"/>
      <c r="L46" s="59"/>
      <c r="M46" s="59"/>
      <c r="N46" s="61" t="b">
        <f aca="false">TRUE()</f>
        <v>1</v>
      </c>
      <c r="O46" s="59" t="n">
        <v>0.219</v>
      </c>
      <c r="P46" s="61" t="b">
        <f aca="false">TRUE()</f>
        <v>1</v>
      </c>
      <c r="Q46" s="59" t="n">
        <v>1</v>
      </c>
      <c r="R46" s="59" t="n">
        <v>40</v>
      </c>
      <c r="S46" s="59"/>
      <c r="T46" s="59"/>
      <c r="U46" s="59"/>
      <c r="V46" s="59" t="n">
        <v>84.812</v>
      </c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 t="s">
        <v>83</v>
      </c>
      <c r="AH46" s="59" t="s">
        <v>84</v>
      </c>
      <c r="AI46" s="59" t="s">
        <v>84</v>
      </c>
      <c r="AJ46" s="59"/>
    </row>
    <row r="47" customFormat="false" ht="15.75" hidden="false" customHeight="false" outlineLevel="0" collapsed="false">
      <c r="A47" s="59" t="n">
        <v>2</v>
      </c>
      <c r="B47" s="59" t="s">
        <v>85</v>
      </c>
      <c r="C47" s="61" t="b">
        <f aca="false">FALSE()</f>
        <v>0</v>
      </c>
      <c r="D47" s="59" t="n">
        <v>10</v>
      </c>
      <c r="E47" s="59" t="s">
        <v>33</v>
      </c>
      <c r="F47" s="59" t="s">
        <v>81</v>
      </c>
      <c r="G47" s="59" t="s">
        <v>82</v>
      </c>
      <c r="H47" s="59" t="n">
        <v>25.117</v>
      </c>
      <c r="I47" s="59" t="n">
        <v>27.957</v>
      </c>
      <c r="J47" s="59" t="n">
        <v>4.652</v>
      </c>
      <c r="K47" s="59"/>
      <c r="L47" s="59"/>
      <c r="M47" s="59"/>
      <c r="N47" s="61" t="b">
        <f aca="false">TRUE()</f>
        <v>1</v>
      </c>
      <c r="O47" s="59" t="n">
        <v>0.219</v>
      </c>
      <c r="P47" s="61" t="b">
        <f aca="false">TRUE()</f>
        <v>1</v>
      </c>
      <c r="Q47" s="59" t="n">
        <v>1</v>
      </c>
      <c r="R47" s="59" t="n">
        <v>40</v>
      </c>
      <c r="S47" s="59"/>
      <c r="T47" s="59"/>
      <c r="U47" s="59"/>
      <c r="V47" s="59" t="n">
        <v>84.421</v>
      </c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 t="s">
        <v>83</v>
      </c>
      <c r="AH47" s="59" t="s">
        <v>84</v>
      </c>
      <c r="AI47" s="59" t="s">
        <v>84</v>
      </c>
      <c r="AJ47" s="59"/>
    </row>
    <row r="48" customFormat="false" ht="15.75" hidden="false" customHeight="false" outlineLevel="0" collapsed="false">
      <c r="A48" s="59" t="n">
        <v>3</v>
      </c>
      <c r="B48" s="59" t="s">
        <v>86</v>
      </c>
      <c r="C48" s="61" t="b">
        <f aca="false">FALSE()</f>
        <v>0</v>
      </c>
      <c r="D48" s="59" t="n">
        <v>1</v>
      </c>
      <c r="E48" s="59" t="s">
        <v>33</v>
      </c>
      <c r="F48" s="59" t="s">
        <v>81</v>
      </c>
      <c r="G48" s="59" t="s">
        <v>82</v>
      </c>
      <c r="H48" s="59" t="n">
        <v>28.621</v>
      </c>
      <c r="I48" s="59" t="n">
        <v>27.957</v>
      </c>
      <c r="J48" s="59" t="n">
        <v>4.652</v>
      </c>
      <c r="K48" s="59"/>
      <c r="L48" s="59"/>
      <c r="M48" s="59"/>
      <c r="N48" s="61" t="b">
        <f aca="false">TRUE()</f>
        <v>1</v>
      </c>
      <c r="O48" s="59" t="n">
        <v>0.219</v>
      </c>
      <c r="P48" s="61" t="b">
        <f aca="false">TRUE()</f>
        <v>1</v>
      </c>
      <c r="Q48" s="59" t="n">
        <v>1</v>
      </c>
      <c r="R48" s="59" t="n">
        <v>40</v>
      </c>
      <c r="S48" s="59"/>
      <c r="T48" s="59"/>
      <c r="U48" s="59"/>
      <c r="V48" s="59" t="n">
        <v>84.421</v>
      </c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 t="s">
        <v>83</v>
      </c>
      <c r="AH48" s="59" t="s">
        <v>84</v>
      </c>
      <c r="AI48" s="59" t="s">
        <v>84</v>
      </c>
      <c r="AJ48" s="59"/>
    </row>
    <row r="49" customFormat="false" ht="15.75" hidden="false" customHeight="false" outlineLevel="0" collapsed="false">
      <c r="A49" s="59" t="n">
        <v>4</v>
      </c>
      <c r="B49" s="59" t="s">
        <v>87</v>
      </c>
      <c r="C49" s="61" t="b">
        <f aca="false">FALSE()</f>
        <v>0</v>
      </c>
      <c r="D49" s="59" t="n">
        <v>0.1</v>
      </c>
      <c r="E49" s="59" t="s">
        <v>33</v>
      </c>
      <c r="F49" s="59" t="s">
        <v>81</v>
      </c>
      <c r="G49" s="59" t="s">
        <v>82</v>
      </c>
      <c r="H49" s="59" t="n">
        <v>32.079</v>
      </c>
      <c r="I49" s="59" t="n">
        <v>27.957</v>
      </c>
      <c r="J49" s="59" t="n">
        <v>4.652</v>
      </c>
      <c r="K49" s="59"/>
      <c r="L49" s="59"/>
      <c r="M49" s="59"/>
      <c r="N49" s="61" t="b">
        <f aca="false">TRUE()</f>
        <v>1</v>
      </c>
      <c r="O49" s="59" t="n">
        <v>0.219</v>
      </c>
      <c r="P49" s="61" t="b">
        <f aca="false">TRUE()</f>
        <v>1</v>
      </c>
      <c r="Q49" s="59" t="n">
        <v>1</v>
      </c>
      <c r="R49" s="59" t="n">
        <v>40</v>
      </c>
      <c r="S49" s="59"/>
      <c r="T49" s="59"/>
      <c r="U49" s="59"/>
      <c r="V49" s="59" t="n">
        <v>84.421</v>
      </c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 t="s">
        <v>83</v>
      </c>
      <c r="AH49" s="59" t="s">
        <v>84</v>
      </c>
      <c r="AI49" s="59" t="s">
        <v>84</v>
      </c>
      <c r="AJ49" s="59"/>
    </row>
    <row r="50" customFormat="false" ht="15.75" hidden="false" customHeight="false" outlineLevel="0" collapsed="false">
      <c r="A50" s="59" t="n">
        <v>5</v>
      </c>
      <c r="B50" s="59" t="s">
        <v>89</v>
      </c>
      <c r="C50" s="61" t="b">
        <f aca="false">FALSE()</f>
        <v>0</v>
      </c>
      <c r="D50" s="59" t="s">
        <v>3</v>
      </c>
      <c r="E50" s="59" t="s">
        <v>33</v>
      </c>
      <c r="F50" s="59" t="s">
        <v>81</v>
      </c>
      <c r="G50" s="59" t="s">
        <v>82</v>
      </c>
      <c r="H50" s="59" t="n">
        <v>22.983</v>
      </c>
      <c r="I50" s="59" t="n">
        <v>27.957</v>
      </c>
      <c r="J50" s="59" t="n">
        <v>4.652</v>
      </c>
      <c r="K50" s="59"/>
      <c r="L50" s="59"/>
      <c r="M50" s="59"/>
      <c r="N50" s="61" t="b">
        <f aca="false">TRUE()</f>
        <v>1</v>
      </c>
      <c r="O50" s="59" t="n">
        <v>0.219</v>
      </c>
      <c r="P50" s="61" t="b">
        <f aca="false">TRUE()</f>
        <v>1</v>
      </c>
      <c r="Q50" s="59" t="n">
        <v>1</v>
      </c>
      <c r="R50" s="59" t="n">
        <v>40</v>
      </c>
      <c r="S50" s="59"/>
      <c r="T50" s="59"/>
      <c r="U50" s="59"/>
      <c r="V50" s="59" t="n">
        <v>84.714</v>
      </c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 t="s">
        <v>83</v>
      </c>
      <c r="AH50" s="59" t="s">
        <v>84</v>
      </c>
      <c r="AI50" s="59" t="s">
        <v>84</v>
      </c>
      <c r="AJ50" s="59"/>
    </row>
    <row r="51" customFormat="false" ht="15.75" hidden="false" customHeight="false" outlineLevel="0" collapsed="false">
      <c r="A51" s="59" t="n">
        <v>6</v>
      </c>
      <c r="B51" s="59" t="s">
        <v>90</v>
      </c>
      <c r="C51" s="61" t="b">
        <f aca="false">FALSE()</f>
        <v>0</v>
      </c>
      <c r="D51" s="59" t="s">
        <v>4</v>
      </c>
      <c r="E51" s="59" t="s">
        <v>33</v>
      </c>
      <c r="F51" s="59" t="s">
        <v>81</v>
      </c>
      <c r="G51" s="59" t="s">
        <v>82</v>
      </c>
      <c r="H51" s="59" t="n">
        <v>22.133</v>
      </c>
      <c r="I51" s="59" t="n">
        <v>27.957</v>
      </c>
      <c r="J51" s="59" t="n">
        <v>4.652</v>
      </c>
      <c r="K51" s="59"/>
      <c r="L51" s="59"/>
      <c r="M51" s="59"/>
      <c r="N51" s="61" t="b">
        <f aca="false">TRUE()</f>
        <v>1</v>
      </c>
      <c r="O51" s="59" t="n">
        <v>0.219</v>
      </c>
      <c r="P51" s="61" t="b">
        <f aca="false">TRUE()</f>
        <v>1</v>
      </c>
      <c r="Q51" s="59" t="n">
        <v>1</v>
      </c>
      <c r="R51" s="59" t="n">
        <v>40</v>
      </c>
      <c r="S51" s="59"/>
      <c r="T51" s="59"/>
      <c r="U51" s="59"/>
      <c r="V51" s="59" t="n">
        <v>84.812</v>
      </c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 t="s">
        <v>83</v>
      </c>
      <c r="AH51" s="59" t="s">
        <v>84</v>
      </c>
      <c r="AI51" s="59" t="s">
        <v>84</v>
      </c>
      <c r="AJ51" s="59"/>
    </row>
    <row r="52" customFormat="false" ht="15.75" hidden="false" customHeight="false" outlineLevel="0" collapsed="false">
      <c r="A52" s="59" t="n">
        <v>7</v>
      </c>
      <c r="B52" s="59" t="s">
        <v>91</v>
      </c>
      <c r="C52" s="61" t="b">
        <f aca="false">FALSE()</f>
        <v>0</v>
      </c>
      <c r="D52" s="59" t="s">
        <v>5</v>
      </c>
      <c r="E52" s="59" t="s">
        <v>33</v>
      </c>
      <c r="F52" s="59" t="s">
        <v>81</v>
      </c>
      <c r="G52" s="59" t="s">
        <v>82</v>
      </c>
      <c r="H52" s="59" t="n">
        <v>22.973</v>
      </c>
      <c r="I52" s="59" t="n">
        <v>27.957</v>
      </c>
      <c r="J52" s="59" t="n">
        <v>4.652</v>
      </c>
      <c r="K52" s="59"/>
      <c r="L52" s="59"/>
      <c r="M52" s="59"/>
      <c r="N52" s="61" t="b">
        <f aca="false">TRUE()</f>
        <v>1</v>
      </c>
      <c r="O52" s="59" t="n">
        <v>0.219</v>
      </c>
      <c r="P52" s="61" t="b">
        <f aca="false">TRUE()</f>
        <v>1</v>
      </c>
      <c r="Q52" s="59" t="n">
        <v>1</v>
      </c>
      <c r="R52" s="59" t="n">
        <v>40</v>
      </c>
      <c r="S52" s="59"/>
      <c r="T52" s="59"/>
      <c r="U52" s="59"/>
      <c r="V52" s="59" t="n">
        <v>84.812</v>
      </c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 t="s">
        <v>83</v>
      </c>
      <c r="AH52" s="59" t="s">
        <v>84</v>
      </c>
      <c r="AI52" s="59" t="s">
        <v>84</v>
      </c>
      <c r="AJ52" s="59"/>
    </row>
    <row r="53" customFormat="false" ht="15.75" hidden="false" customHeight="false" outlineLevel="0" collapsed="false">
      <c r="A53" s="59" t="n">
        <v>8</v>
      </c>
      <c r="B53" s="59" t="s">
        <v>92</v>
      </c>
      <c r="C53" s="61" t="b">
        <f aca="false">FALSE()</f>
        <v>0</v>
      </c>
      <c r="D53" s="59" t="s">
        <v>6</v>
      </c>
      <c r="E53" s="59" t="s">
        <v>33</v>
      </c>
      <c r="F53" s="59" t="s">
        <v>81</v>
      </c>
      <c r="G53" s="59" t="s">
        <v>82</v>
      </c>
      <c r="H53" s="59" t="n">
        <v>24.187</v>
      </c>
      <c r="I53" s="59" t="n">
        <v>27.957</v>
      </c>
      <c r="J53" s="59" t="n">
        <v>4.652</v>
      </c>
      <c r="K53" s="59"/>
      <c r="L53" s="59"/>
      <c r="M53" s="59"/>
      <c r="N53" s="61" t="b">
        <f aca="false">TRUE()</f>
        <v>1</v>
      </c>
      <c r="O53" s="59" t="n">
        <v>0.219</v>
      </c>
      <c r="P53" s="61" t="b">
        <f aca="false">TRUE()</f>
        <v>1</v>
      </c>
      <c r="Q53" s="59" t="n">
        <v>1</v>
      </c>
      <c r="R53" s="59" t="n">
        <v>40</v>
      </c>
      <c r="S53" s="59"/>
      <c r="T53" s="59"/>
      <c r="U53" s="59"/>
      <c r="V53" s="59" t="n">
        <v>84.714</v>
      </c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 t="s">
        <v>83</v>
      </c>
      <c r="AH53" s="59" t="s">
        <v>84</v>
      </c>
      <c r="AI53" s="59" t="s">
        <v>84</v>
      </c>
      <c r="AJ53" s="59"/>
    </row>
    <row r="54" customFormat="false" ht="15.75" hidden="false" customHeight="false" outlineLevel="0" collapsed="false">
      <c r="A54" s="59" t="n">
        <v>9</v>
      </c>
      <c r="B54" s="59" t="s">
        <v>93</v>
      </c>
      <c r="C54" s="61" t="b">
        <f aca="false">FALSE()</f>
        <v>0</v>
      </c>
      <c r="D54" s="59" t="s">
        <v>7</v>
      </c>
      <c r="E54" s="59" t="s">
        <v>33</v>
      </c>
      <c r="F54" s="59" t="s">
        <v>81</v>
      </c>
      <c r="G54" s="59" t="s">
        <v>82</v>
      </c>
      <c r="H54" s="59" t="n">
        <v>26.295</v>
      </c>
      <c r="I54" s="59" t="n">
        <v>27.957</v>
      </c>
      <c r="J54" s="59" t="n">
        <v>4.652</v>
      </c>
      <c r="K54" s="59"/>
      <c r="L54" s="59"/>
      <c r="M54" s="59"/>
      <c r="N54" s="61" t="b">
        <f aca="false">TRUE()</f>
        <v>1</v>
      </c>
      <c r="O54" s="59" t="n">
        <v>0.219</v>
      </c>
      <c r="P54" s="61" t="b">
        <f aca="false">TRUE()</f>
        <v>1</v>
      </c>
      <c r="Q54" s="59" t="n">
        <v>1</v>
      </c>
      <c r="R54" s="59" t="n">
        <v>40</v>
      </c>
      <c r="S54" s="59"/>
      <c r="T54" s="59"/>
      <c r="U54" s="59"/>
      <c r="V54" s="59" t="n">
        <v>84.617</v>
      </c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 t="s">
        <v>83</v>
      </c>
      <c r="AH54" s="59" t="s">
        <v>84</v>
      </c>
      <c r="AI54" s="59" t="s">
        <v>84</v>
      </c>
      <c r="AJ54" s="59"/>
    </row>
    <row r="55" customFormat="false" ht="15.75" hidden="false" customHeight="false" outlineLevel="0" collapsed="false">
      <c r="A55" s="59" t="n">
        <v>10</v>
      </c>
      <c r="B55" s="59" t="s">
        <v>94</v>
      </c>
      <c r="C55" s="61" t="b">
        <f aca="false">FALSE()</f>
        <v>0</v>
      </c>
      <c r="D55" s="59" t="s">
        <v>8</v>
      </c>
      <c r="E55" s="59" t="s">
        <v>33</v>
      </c>
      <c r="F55" s="59" t="s">
        <v>81</v>
      </c>
      <c r="G55" s="59" t="s">
        <v>82</v>
      </c>
      <c r="H55" s="59" t="n">
        <v>23.092</v>
      </c>
      <c r="I55" s="59" t="n">
        <v>27.957</v>
      </c>
      <c r="J55" s="59" t="n">
        <v>4.652</v>
      </c>
      <c r="K55" s="59"/>
      <c r="L55" s="59"/>
      <c r="M55" s="59"/>
      <c r="N55" s="61" t="b">
        <f aca="false">TRUE()</f>
        <v>1</v>
      </c>
      <c r="O55" s="59" t="n">
        <v>0.219</v>
      </c>
      <c r="P55" s="61" t="b">
        <f aca="false">TRUE()</f>
        <v>1</v>
      </c>
      <c r="Q55" s="59" t="n">
        <v>1</v>
      </c>
      <c r="R55" s="59" t="n">
        <v>40</v>
      </c>
      <c r="S55" s="59"/>
      <c r="T55" s="59"/>
      <c r="U55" s="59"/>
      <c r="V55" s="59" t="n">
        <v>84.617</v>
      </c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 t="s">
        <v>83</v>
      </c>
      <c r="AH55" s="59" t="s">
        <v>84</v>
      </c>
      <c r="AI55" s="59" t="s">
        <v>84</v>
      </c>
      <c r="AJ55" s="59"/>
    </row>
    <row r="56" customFormat="false" ht="15.75" hidden="false" customHeight="false" outlineLevel="0" collapsed="false">
      <c r="A56" s="59" t="n">
        <v>11</v>
      </c>
      <c r="B56" s="59" t="s">
        <v>95</v>
      </c>
      <c r="C56" s="61" t="b">
        <f aca="false">FALSE()</f>
        <v>0</v>
      </c>
      <c r="D56" s="59" t="s">
        <v>9</v>
      </c>
      <c r="E56" s="59" t="s">
        <v>33</v>
      </c>
      <c r="F56" s="59" t="s">
        <v>81</v>
      </c>
      <c r="G56" s="59" t="s">
        <v>82</v>
      </c>
      <c r="H56" s="59" t="n">
        <v>23.017</v>
      </c>
      <c r="I56" s="59" t="n">
        <v>27.957</v>
      </c>
      <c r="J56" s="59" t="n">
        <v>4.652</v>
      </c>
      <c r="K56" s="59"/>
      <c r="L56" s="59"/>
      <c r="M56" s="59"/>
      <c r="N56" s="61" t="b">
        <f aca="false">TRUE()</f>
        <v>1</v>
      </c>
      <c r="O56" s="59" t="n">
        <v>0.219</v>
      </c>
      <c r="P56" s="61" t="b">
        <f aca="false">TRUE()</f>
        <v>1</v>
      </c>
      <c r="Q56" s="59" t="n">
        <v>1</v>
      </c>
      <c r="R56" s="59" t="n">
        <v>40</v>
      </c>
      <c r="S56" s="59"/>
      <c r="T56" s="59"/>
      <c r="U56" s="59"/>
      <c r="V56" s="59" t="n">
        <v>84.617</v>
      </c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 t="s">
        <v>83</v>
      </c>
      <c r="AH56" s="59" t="s">
        <v>84</v>
      </c>
      <c r="AI56" s="59" t="s">
        <v>84</v>
      </c>
      <c r="AJ56" s="59"/>
    </row>
    <row r="57" customFormat="false" ht="15.75" hidden="false" customHeight="false" outlineLevel="0" collapsed="false">
      <c r="A57" s="59" t="n">
        <v>12</v>
      </c>
      <c r="B57" s="59" t="s">
        <v>96</v>
      </c>
      <c r="C57" s="61" t="b">
        <f aca="false">FALSE()</f>
        <v>0</v>
      </c>
      <c r="D57" s="59" t="s">
        <v>10</v>
      </c>
      <c r="E57" s="59" t="s">
        <v>33</v>
      </c>
      <c r="F57" s="59" t="s">
        <v>81</v>
      </c>
      <c r="G57" s="59" t="s">
        <v>82</v>
      </c>
      <c r="H57" s="59" t="n">
        <v>23.204</v>
      </c>
      <c r="I57" s="59" t="n">
        <v>27.957</v>
      </c>
      <c r="J57" s="59" t="n">
        <v>4.652</v>
      </c>
      <c r="K57" s="59"/>
      <c r="L57" s="59"/>
      <c r="M57" s="59"/>
      <c r="N57" s="61" t="b">
        <f aca="false">TRUE()</f>
        <v>1</v>
      </c>
      <c r="O57" s="59" t="n">
        <v>0.219</v>
      </c>
      <c r="P57" s="61" t="b">
        <f aca="false">TRUE()</f>
        <v>1</v>
      </c>
      <c r="Q57" s="59" t="n">
        <v>1</v>
      </c>
      <c r="R57" s="59" t="n">
        <v>40</v>
      </c>
      <c r="S57" s="59"/>
      <c r="T57" s="59"/>
      <c r="U57" s="59"/>
      <c r="V57" s="59" t="n">
        <v>84.617</v>
      </c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 t="s">
        <v>83</v>
      </c>
      <c r="AH57" s="59" t="s">
        <v>84</v>
      </c>
      <c r="AI57" s="59" t="s">
        <v>84</v>
      </c>
      <c r="AJ57" s="59"/>
    </row>
    <row r="58" customFormat="false" ht="15.75" hidden="false" customHeight="false" outlineLevel="0" collapsed="false">
      <c r="A58" s="59" t="n">
        <v>17</v>
      </c>
      <c r="B58" s="59" t="s">
        <v>97</v>
      </c>
      <c r="C58" s="61" t="b">
        <f aca="false">FALSE()</f>
        <v>0</v>
      </c>
      <c r="D58" s="59" t="s">
        <v>11</v>
      </c>
      <c r="E58" s="59" t="s">
        <v>33</v>
      </c>
      <c r="F58" s="59" t="s">
        <v>81</v>
      </c>
      <c r="G58" s="59" t="s">
        <v>82</v>
      </c>
      <c r="H58" s="59" t="n">
        <v>23.265</v>
      </c>
      <c r="I58" s="59" t="n">
        <v>27.957</v>
      </c>
      <c r="J58" s="59" t="n">
        <v>4.652</v>
      </c>
      <c r="K58" s="59"/>
      <c r="L58" s="59"/>
      <c r="M58" s="59"/>
      <c r="N58" s="61" t="b">
        <f aca="false">TRUE()</f>
        <v>1</v>
      </c>
      <c r="O58" s="59" t="n">
        <v>0.219</v>
      </c>
      <c r="P58" s="61" t="b">
        <f aca="false">TRUE()</f>
        <v>1</v>
      </c>
      <c r="Q58" s="59" t="n">
        <v>1</v>
      </c>
      <c r="R58" s="59" t="n">
        <v>40</v>
      </c>
      <c r="S58" s="59"/>
      <c r="T58" s="59"/>
      <c r="U58" s="59"/>
      <c r="V58" s="59" t="n">
        <v>84.617</v>
      </c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 t="s">
        <v>83</v>
      </c>
      <c r="AH58" s="59" t="s">
        <v>84</v>
      </c>
      <c r="AI58" s="59" t="s">
        <v>84</v>
      </c>
      <c r="AJ58" s="59"/>
    </row>
    <row r="59" customFormat="false" ht="15.75" hidden="false" customHeight="false" outlineLevel="0" collapsed="false">
      <c r="A59" s="59" t="n">
        <v>18</v>
      </c>
      <c r="B59" s="59" t="s">
        <v>98</v>
      </c>
      <c r="C59" s="61" t="b">
        <f aca="false">FALSE()</f>
        <v>0</v>
      </c>
      <c r="D59" s="59" t="s">
        <v>23</v>
      </c>
      <c r="E59" s="59" t="s">
        <v>33</v>
      </c>
      <c r="F59" s="59" t="s">
        <v>81</v>
      </c>
      <c r="G59" s="59" t="s">
        <v>82</v>
      </c>
      <c r="H59" s="59" t="n">
        <v>22.583</v>
      </c>
      <c r="I59" s="59" t="n">
        <v>27.957</v>
      </c>
      <c r="J59" s="59" t="n">
        <v>4.652</v>
      </c>
      <c r="K59" s="59"/>
      <c r="L59" s="59"/>
      <c r="M59" s="59"/>
      <c r="N59" s="61" t="b">
        <f aca="false">TRUE()</f>
        <v>1</v>
      </c>
      <c r="O59" s="59" t="n">
        <v>0.219</v>
      </c>
      <c r="P59" s="61" t="b">
        <f aca="false">TRUE()</f>
        <v>1</v>
      </c>
      <c r="Q59" s="59" t="n">
        <v>1</v>
      </c>
      <c r="R59" s="59" t="n">
        <v>40</v>
      </c>
      <c r="S59" s="59"/>
      <c r="T59" s="59"/>
      <c r="U59" s="59"/>
      <c r="V59" s="59" t="n">
        <v>84.714</v>
      </c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 t="s">
        <v>83</v>
      </c>
      <c r="AH59" s="59" t="s">
        <v>84</v>
      </c>
      <c r="AI59" s="59" t="s">
        <v>84</v>
      </c>
      <c r="AJ59" s="59"/>
    </row>
    <row r="60" customFormat="false" ht="15.75" hidden="false" customHeight="false" outlineLevel="0" collapsed="false">
      <c r="A60" s="59" t="n">
        <v>19</v>
      </c>
      <c r="B60" s="59" t="s">
        <v>99</v>
      </c>
      <c r="C60" s="61" t="b">
        <f aca="false">FALSE()</f>
        <v>0</v>
      </c>
      <c r="D60" s="59" t="s">
        <v>24</v>
      </c>
      <c r="E60" s="59" t="s">
        <v>33</v>
      </c>
      <c r="F60" s="59" t="s">
        <v>81</v>
      </c>
      <c r="G60" s="59" t="s">
        <v>82</v>
      </c>
      <c r="H60" s="59" t="n">
        <v>22.63</v>
      </c>
      <c r="I60" s="59" t="n">
        <v>27.957</v>
      </c>
      <c r="J60" s="59" t="n">
        <v>4.652</v>
      </c>
      <c r="K60" s="59"/>
      <c r="L60" s="59"/>
      <c r="M60" s="59"/>
      <c r="N60" s="61" t="b">
        <f aca="false">TRUE()</f>
        <v>1</v>
      </c>
      <c r="O60" s="59" t="n">
        <v>0.219</v>
      </c>
      <c r="P60" s="61" t="b">
        <f aca="false">TRUE()</f>
        <v>1</v>
      </c>
      <c r="Q60" s="59" t="n">
        <v>1</v>
      </c>
      <c r="R60" s="59" t="n">
        <v>40</v>
      </c>
      <c r="S60" s="59"/>
      <c r="T60" s="59"/>
      <c r="U60" s="59"/>
      <c r="V60" s="59" t="n">
        <v>84.812</v>
      </c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 t="s">
        <v>83</v>
      </c>
      <c r="AH60" s="59" t="s">
        <v>84</v>
      </c>
      <c r="AI60" s="59" t="s">
        <v>84</v>
      </c>
      <c r="AJ60" s="59"/>
    </row>
    <row r="61" customFormat="false" ht="15.75" hidden="false" customHeight="false" outlineLevel="0" collapsed="false">
      <c r="A61" s="59" t="n">
        <v>20</v>
      </c>
      <c r="B61" s="59" t="s">
        <v>100</v>
      </c>
      <c r="C61" s="61" t="b">
        <f aca="false">FALSE()</f>
        <v>0</v>
      </c>
      <c r="D61" s="59" t="s">
        <v>25</v>
      </c>
      <c r="E61" s="59" t="s">
        <v>33</v>
      </c>
      <c r="F61" s="59" t="s">
        <v>81</v>
      </c>
      <c r="G61" s="59" t="s">
        <v>82</v>
      </c>
      <c r="H61" s="59" t="n">
        <v>22.573</v>
      </c>
      <c r="I61" s="59" t="n">
        <v>27.957</v>
      </c>
      <c r="J61" s="59" t="n">
        <v>4.652</v>
      </c>
      <c r="K61" s="59"/>
      <c r="L61" s="59"/>
      <c r="M61" s="59"/>
      <c r="N61" s="61" t="b">
        <f aca="false">TRUE()</f>
        <v>1</v>
      </c>
      <c r="O61" s="59" t="n">
        <v>0.219</v>
      </c>
      <c r="P61" s="61" t="b">
        <f aca="false">TRUE()</f>
        <v>1</v>
      </c>
      <c r="Q61" s="59" t="n">
        <v>1</v>
      </c>
      <c r="R61" s="59" t="n">
        <v>40</v>
      </c>
      <c r="S61" s="59"/>
      <c r="T61" s="59"/>
      <c r="U61" s="59"/>
      <c r="V61" s="59" t="n">
        <v>84.714</v>
      </c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 t="s">
        <v>83</v>
      </c>
      <c r="AH61" s="59" t="s">
        <v>84</v>
      </c>
      <c r="AI61" s="59" t="s">
        <v>84</v>
      </c>
      <c r="AJ61" s="59"/>
    </row>
    <row r="62" customFormat="false" ht="15.75" hidden="false" customHeight="false" outlineLevel="0" collapsed="false">
      <c r="A62" s="59" t="n">
        <v>21</v>
      </c>
      <c r="B62" s="59" t="s">
        <v>101</v>
      </c>
      <c r="C62" s="61" t="b">
        <f aca="false">FALSE()</f>
        <v>0</v>
      </c>
      <c r="D62" s="59" t="s">
        <v>26</v>
      </c>
      <c r="E62" s="59" t="s">
        <v>33</v>
      </c>
      <c r="F62" s="59" t="s">
        <v>81</v>
      </c>
      <c r="G62" s="59" t="s">
        <v>82</v>
      </c>
      <c r="H62" s="59" t="n">
        <v>23.287</v>
      </c>
      <c r="I62" s="59" t="n">
        <v>27.957</v>
      </c>
      <c r="J62" s="59" t="n">
        <v>4.652</v>
      </c>
      <c r="K62" s="59"/>
      <c r="L62" s="59"/>
      <c r="M62" s="59"/>
      <c r="N62" s="61" t="b">
        <f aca="false">TRUE()</f>
        <v>1</v>
      </c>
      <c r="O62" s="59" t="n">
        <v>0.219</v>
      </c>
      <c r="P62" s="61" t="b">
        <f aca="false">TRUE()</f>
        <v>1</v>
      </c>
      <c r="Q62" s="59" t="n">
        <v>1</v>
      </c>
      <c r="R62" s="59" t="n">
        <v>40</v>
      </c>
      <c r="S62" s="59"/>
      <c r="T62" s="59"/>
      <c r="U62" s="59"/>
      <c r="V62" s="59" t="n">
        <v>84.714</v>
      </c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 t="s">
        <v>83</v>
      </c>
      <c r="AH62" s="59" t="s">
        <v>84</v>
      </c>
      <c r="AI62" s="59" t="s">
        <v>84</v>
      </c>
      <c r="AJ62" s="59"/>
    </row>
    <row r="63" customFormat="false" ht="15.75" hidden="false" customHeight="false" outlineLevel="0" collapsed="false">
      <c r="A63" s="59" t="n">
        <v>22</v>
      </c>
      <c r="B63" s="59" t="s">
        <v>102</v>
      </c>
      <c r="C63" s="61" t="b">
        <f aca="false">FALSE()</f>
        <v>0</v>
      </c>
      <c r="D63" s="59" t="s">
        <v>27</v>
      </c>
      <c r="E63" s="59" t="s">
        <v>33</v>
      </c>
      <c r="F63" s="59" t="s">
        <v>81</v>
      </c>
      <c r="G63" s="59" t="s">
        <v>82</v>
      </c>
      <c r="H63" s="59" t="n">
        <v>22.169</v>
      </c>
      <c r="I63" s="59" t="n">
        <v>27.957</v>
      </c>
      <c r="J63" s="59" t="n">
        <v>4.652</v>
      </c>
      <c r="K63" s="59"/>
      <c r="L63" s="59"/>
      <c r="M63" s="59"/>
      <c r="N63" s="61" t="b">
        <f aca="false">TRUE()</f>
        <v>1</v>
      </c>
      <c r="O63" s="59" t="n">
        <v>0.219</v>
      </c>
      <c r="P63" s="61" t="b">
        <f aca="false">TRUE()</f>
        <v>1</v>
      </c>
      <c r="Q63" s="59" t="n">
        <v>1</v>
      </c>
      <c r="R63" s="59" t="n">
        <v>40</v>
      </c>
      <c r="S63" s="59"/>
      <c r="T63" s="59"/>
      <c r="U63" s="59"/>
      <c r="V63" s="59" t="n">
        <v>84.714</v>
      </c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 t="s">
        <v>83</v>
      </c>
      <c r="AH63" s="59" t="s">
        <v>84</v>
      </c>
      <c r="AI63" s="59" t="s">
        <v>84</v>
      </c>
      <c r="AJ63" s="59"/>
    </row>
    <row r="64" customFormat="false" ht="15.75" hidden="false" customHeight="false" outlineLevel="0" collapsed="false">
      <c r="A64" s="59" t="n">
        <v>23</v>
      </c>
      <c r="B64" s="59" t="s">
        <v>103</v>
      </c>
      <c r="C64" s="61" t="b">
        <f aca="false">FALSE()</f>
        <v>0</v>
      </c>
      <c r="D64" s="59" t="s">
        <v>28</v>
      </c>
      <c r="E64" s="59" t="s">
        <v>33</v>
      </c>
      <c r="F64" s="59" t="s">
        <v>81</v>
      </c>
      <c r="G64" s="59" t="s">
        <v>82</v>
      </c>
      <c r="H64" s="59" t="n">
        <v>22.149</v>
      </c>
      <c r="I64" s="59" t="n">
        <v>27.957</v>
      </c>
      <c r="J64" s="59" t="n">
        <v>4.652</v>
      </c>
      <c r="K64" s="59"/>
      <c r="L64" s="59"/>
      <c r="M64" s="59"/>
      <c r="N64" s="61" t="b">
        <f aca="false">TRUE()</f>
        <v>1</v>
      </c>
      <c r="O64" s="59" t="n">
        <v>0.219</v>
      </c>
      <c r="P64" s="61" t="b">
        <f aca="false">TRUE()</f>
        <v>1</v>
      </c>
      <c r="Q64" s="59" t="n">
        <v>1</v>
      </c>
      <c r="R64" s="59" t="n">
        <v>40</v>
      </c>
      <c r="S64" s="59"/>
      <c r="T64" s="59"/>
      <c r="U64" s="59"/>
      <c r="V64" s="59" t="n">
        <v>84.617</v>
      </c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 t="s">
        <v>83</v>
      </c>
      <c r="AH64" s="59" t="s">
        <v>84</v>
      </c>
      <c r="AI64" s="59" t="s">
        <v>84</v>
      </c>
      <c r="AJ64" s="59"/>
    </row>
    <row r="65" customFormat="false" ht="15.75" hidden="false" customHeight="false" outlineLevel="0" collapsed="false">
      <c r="A65" s="59" t="n">
        <v>24</v>
      </c>
      <c r="B65" s="59" t="s">
        <v>104</v>
      </c>
      <c r="C65" s="61" t="b">
        <f aca="false">FALSE()</f>
        <v>0</v>
      </c>
      <c r="D65" s="59" t="s">
        <v>29</v>
      </c>
      <c r="E65" s="59" t="s">
        <v>33</v>
      </c>
      <c r="F65" s="59" t="s">
        <v>81</v>
      </c>
      <c r="G65" s="59" t="s">
        <v>82</v>
      </c>
      <c r="H65" s="59" t="n">
        <v>23.16</v>
      </c>
      <c r="I65" s="59" t="n">
        <v>27.957</v>
      </c>
      <c r="J65" s="59" t="n">
        <v>4.652</v>
      </c>
      <c r="K65" s="59"/>
      <c r="L65" s="59"/>
      <c r="M65" s="59"/>
      <c r="N65" s="61" t="b">
        <f aca="false">TRUE()</f>
        <v>1</v>
      </c>
      <c r="O65" s="59" t="n">
        <v>0.219</v>
      </c>
      <c r="P65" s="61" t="b">
        <f aca="false">TRUE()</f>
        <v>1</v>
      </c>
      <c r="Q65" s="59" t="n">
        <v>1</v>
      </c>
      <c r="R65" s="59" t="n">
        <v>40</v>
      </c>
      <c r="S65" s="59"/>
      <c r="T65" s="59"/>
      <c r="U65" s="59"/>
      <c r="V65" s="59" t="n">
        <v>84.617</v>
      </c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 t="s">
        <v>83</v>
      </c>
      <c r="AH65" s="59" t="s">
        <v>84</v>
      </c>
      <c r="AI65" s="59" t="s">
        <v>84</v>
      </c>
      <c r="AJ65" s="59"/>
    </row>
    <row r="66" customFormat="false" ht="15.75" hidden="false" customHeight="false" outlineLevel="0" collapsed="false">
      <c r="A66" s="59" t="n">
        <v>29</v>
      </c>
      <c r="B66" s="59" t="s">
        <v>105</v>
      </c>
      <c r="C66" s="61" t="b">
        <f aca="false">FALSE()</f>
        <v>0</v>
      </c>
      <c r="D66" s="59" t="s">
        <v>30</v>
      </c>
      <c r="E66" s="59" t="s">
        <v>33</v>
      </c>
      <c r="F66" s="59" t="s">
        <v>81</v>
      </c>
      <c r="G66" s="59" t="s">
        <v>82</v>
      </c>
      <c r="H66" s="59" t="n">
        <v>23.521</v>
      </c>
      <c r="I66" s="59" t="n">
        <v>27.957</v>
      </c>
      <c r="J66" s="59" t="n">
        <v>4.652</v>
      </c>
      <c r="K66" s="59"/>
      <c r="L66" s="59"/>
      <c r="M66" s="59"/>
      <c r="N66" s="61" t="b">
        <f aca="false">TRUE()</f>
        <v>1</v>
      </c>
      <c r="O66" s="59" t="n">
        <v>0.219</v>
      </c>
      <c r="P66" s="61" t="b">
        <f aca="false">TRUE()</f>
        <v>1</v>
      </c>
      <c r="Q66" s="59" t="n">
        <v>1</v>
      </c>
      <c r="R66" s="59" t="n">
        <v>40</v>
      </c>
      <c r="S66" s="59"/>
      <c r="T66" s="59"/>
      <c r="U66" s="59"/>
      <c r="V66" s="59" t="n">
        <v>84.714</v>
      </c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 t="s">
        <v>83</v>
      </c>
      <c r="AH66" s="59" t="s">
        <v>84</v>
      </c>
      <c r="AI66" s="59" t="s">
        <v>84</v>
      </c>
      <c r="AJ66" s="59"/>
    </row>
    <row r="67" customFormat="false" ht="15.75" hidden="false" customHeight="false" outlineLevel="0" collapsed="false">
      <c r="A67" s="59" t="n">
        <v>30</v>
      </c>
      <c r="B67" s="59" t="s">
        <v>106</v>
      </c>
      <c r="C67" s="61" t="b">
        <f aca="false">FALSE()</f>
        <v>0</v>
      </c>
      <c r="D67" s="59" t="s">
        <v>31</v>
      </c>
      <c r="E67" s="59" t="s">
        <v>33</v>
      </c>
      <c r="F67" s="59" t="s">
        <v>81</v>
      </c>
      <c r="G67" s="59" t="s">
        <v>82</v>
      </c>
      <c r="H67" s="59" t="n">
        <v>24.014</v>
      </c>
      <c r="I67" s="59" t="n">
        <v>27.957</v>
      </c>
      <c r="J67" s="59" t="n">
        <v>4.652</v>
      </c>
      <c r="K67" s="59"/>
      <c r="L67" s="59"/>
      <c r="M67" s="59"/>
      <c r="N67" s="61" t="b">
        <f aca="false">TRUE()</f>
        <v>1</v>
      </c>
      <c r="O67" s="59" t="n">
        <v>0.219</v>
      </c>
      <c r="P67" s="61" t="b">
        <f aca="false">TRUE()</f>
        <v>1</v>
      </c>
      <c r="Q67" s="59" t="n">
        <v>1</v>
      </c>
      <c r="R67" s="59" t="n">
        <v>40</v>
      </c>
      <c r="S67" s="59"/>
      <c r="T67" s="59"/>
      <c r="U67" s="59"/>
      <c r="V67" s="59" t="n">
        <v>84.714</v>
      </c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 t="s">
        <v>83</v>
      </c>
      <c r="AH67" s="59" t="s">
        <v>84</v>
      </c>
      <c r="AI67" s="59" t="s">
        <v>84</v>
      </c>
      <c r="AJ67" s="59"/>
    </row>
    <row r="68" customFormat="false" ht="15.75" hidden="false" customHeight="false" outlineLevel="0" collapsed="false">
      <c r="A68" s="59" t="n">
        <v>37</v>
      </c>
      <c r="B68" s="59" t="s">
        <v>107</v>
      </c>
      <c r="C68" s="61" t="b">
        <f aca="false">FALSE()</f>
        <v>0</v>
      </c>
      <c r="D68" s="59" t="n">
        <v>100</v>
      </c>
      <c r="E68" s="59" t="s">
        <v>34</v>
      </c>
      <c r="F68" s="59" t="s">
        <v>81</v>
      </c>
      <c r="G68" s="59" t="s">
        <v>82</v>
      </c>
      <c r="H68" s="59" t="n">
        <v>30.881</v>
      </c>
      <c r="I68" s="59" t="n">
        <v>27.957</v>
      </c>
      <c r="J68" s="59" t="n">
        <v>4.652</v>
      </c>
      <c r="K68" s="59"/>
      <c r="L68" s="59"/>
      <c r="M68" s="59"/>
      <c r="N68" s="61" t="b">
        <f aca="false">TRUE()</f>
        <v>1</v>
      </c>
      <c r="O68" s="59" t="n">
        <v>0.219</v>
      </c>
      <c r="P68" s="61" t="b">
        <f aca="false">TRUE()</f>
        <v>1</v>
      </c>
      <c r="Q68" s="59" t="n">
        <v>1</v>
      </c>
      <c r="R68" s="59" t="n">
        <v>40</v>
      </c>
      <c r="S68" s="59"/>
      <c r="T68" s="59"/>
      <c r="U68" s="59"/>
      <c r="V68" s="59" t="n">
        <v>80.799</v>
      </c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 t="s">
        <v>83</v>
      </c>
      <c r="AH68" s="59" t="s">
        <v>84</v>
      </c>
      <c r="AI68" s="59" t="s">
        <v>84</v>
      </c>
      <c r="AJ68" s="59"/>
    </row>
    <row r="69" customFormat="false" ht="15.75" hidden="false" customHeight="false" outlineLevel="0" collapsed="false">
      <c r="A69" s="59" t="n">
        <v>38</v>
      </c>
      <c r="B69" s="59" t="s">
        <v>108</v>
      </c>
      <c r="C69" s="61" t="b">
        <f aca="false">FALSE()</f>
        <v>0</v>
      </c>
      <c r="D69" s="59" t="n">
        <v>10</v>
      </c>
      <c r="E69" s="59" t="s">
        <v>34</v>
      </c>
      <c r="F69" s="59" t="s">
        <v>81</v>
      </c>
      <c r="G69" s="59" t="s">
        <v>82</v>
      </c>
      <c r="H69" s="59" t="n">
        <v>33.782</v>
      </c>
      <c r="I69" s="59" t="n">
        <v>27.957</v>
      </c>
      <c r="J69" s="59" t="n">
        <v>4.652</v>
      </c>
      <c r="K69" s="59"/>
      <c r="L69" s="59"/>
      <c r="M69" s="59"/>
      <c r="N69" s="61" t="b">
        <f aca="false">TRUE()</f>
        <v>1</v>
      </c>
      <c r="O69" s="59" t="n">
        <v>0.219</v>
      </c>
      <c r="P69" s="61" t="b">
        <f aca="false">TRUE()</f>
        <v>1</v>
      </c>
      <c r="Q69" s="59" t="n">
        <v>1</v>
      </c>
      <c r="R69" s="59" t="n">
        <v>40</v>
      </c>
      <c r="S69" s="59"/>
      <c r="T69" s="59"/>
      <c r="U69" s="59"/>
      <c r="V69" s="59" t="n">
        <v>80.506</v>
      </c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 t="s">
        <v>83</v>
      </c>
      <c r="AH69" s="59" t="s">
        <v>84</v>
      </c>
      <c r="AI69" s="59" t="s">
        <v>84</v>
      </c>
      <c r="AJ69" s="59"/>
    </row>
    <row r="70" customFormat="false" ht="15.75" hidden="false" customHeight="false" outlineLevel="0" collapsed="false">
      <c r="A70" s="59" t="n">
        <v>39</v>
      </c>
      <c r="B70" s="59" t="s">
        <v>109</v>
      </c>
      <c r="C70" s="61" t="b">
        <f aca="false">FALSE()</f>
        <v>0</v>
      </c>
      <c r="D70" s="59" t="n">
        <v>1</v>
      </c>
      <c r="E70" s="59" t="s">
        <v>34</v>
      </c>
      <c r="F70" s="59" t="s">
        <v>81</v>
      </c>
      <c r="G70" s="59" t="s">
        <v>82</v>
      </c>
      <c r="H70" s="59" t="n">
        <v>37.157</v>
      </c>
      <c r="I70" s="59" t="n">
        <v>27.957</v>
      </c>
      <c r="J70" s="59" t="n">
        <v>4.652</v>
      </c>
      <c r="K70" s="59"/>
      <c r="L70" s="59"/>
      <c r="M70" s="59"/>
      <c r="N70" s="61" t="b">
        <f aca="false">TRUE()</f>
        <v>1</v>
      </c>
      <c r="O70" s="59" t="n">
        <v>0.219</v>
      </c>
      <c r="P70" s="61" t="b">
        <f aca="false">TRUE()</f>
        <v>1</v>
      </c>
      <c r="Q70" s="59" t="n">
        <v>1</v>
      </c>
      <c r="R70" s="59" t="n">
        <v>40</v>
      </c>
      <c r="S70" s="59"/>
      <c r="T70" s="59"/>
      <c r="U70" s="59"/>
      <c r="V70" s="59" t="n">
        <v>80.31</v>
      </c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 t="s">
        <v>83</v>
      </c>
      <c r="AH70" s="59" t="s">
        <v>84</v>
      </c>
      <c r="AI70" s="59" t="s">
        <v>84</v>
      </c>
      <c r="AJ70" s="59"/>
    </row>
    <row r="71" customFormat="false" ht="15.75" hidden="false" customHeight="false" outlineLevel="0" collapsed="false">
      <c r="A71" s="59" t="n">
        <v>40</v>
      </c>
      <c r="B71" s="59" t="s">
        <v>110</v>
      </c>
      <c r="C71" s="61" t="b">
        <f aca="false">FALSE()</f>
        <v>0</v>
      </c>
      <c r="D71" s="59" t="n">
        <v>0.1</v>
      </c>
      <c r="E71" s="59" t="s">
        <v>34</v>
      </c>
      <c r="F71" s="59" t="s">
        <v>81</v>
      </c>
      <c r="G71" s="59" t="s">
        <v>82</v>
      </c>
      <c r="H71" s="59" t="s">
        <v>88</v>
      </c>
      <c r="I71" s="59" t="n">
        <v>27.957</v>
      </c>
      <c r="J71" s="59" t="n">
        <v>4.652</v>
      </c>
      <c r="K71" s="59"/>
      <c r="L71" s="59"/>
      <c r="M71" s="59"/>
      <c r="N71" s="61" t="b">
        <f aca="false">TRUE()</f>
        <v>1</v>
      </c>
      <c r="O71" s="59" t="n">
        <v>0.219</v>
      </c>
      <c r="P71" s="61" t="b">
        <f aca="false">TRUE()</f>
        <v>1</v>
      </c>
      <c r="Q71" s="59" t="n">
        <v>1</v>
      </c>
      <c r="R71" s="59" t="n">
        <v>40</v>
      </c>
      <c r="S71" s="59"/>
      <c r="T71" s="59"/>
      <c r="U71" s="59"/>
      <c r="V71" s="59" t="n">
        <v>61.42</v>
      </c>
      <c r="W71" s="59"/>
      <c r="X71" s="59" t="n">
        <v>63.671</v>
      </c>
      <c r="Y71" s="59"/>
      <c r="Z71" s="59" t="n">
        <v>87.749</v>
      </c>
      <c r="AA71" s="59"/>
      <c r="AB71" s="59"/>
      <c r="AC71" s="59"/>
      <c r="AD71" s="59"/>
      <c r="AE71" s="59"/>
      <c r="AF71" s="59"/>
      <c r="AG71" s="59" t="s">
        <v>84</v>
      </c>
      <c r="AH71" s="59" t="s">
        <v>83</v>
      </c>
      <c r="AI71" s="59" t="s">
        <v>83</v>
      </c>
      <c r="AJ71" s="59"/>
    </row>
    <row r="72" customFormat="false" ht="15.75" hidden="false" customHeight="false" outlineLevel="0" collapsed="false">
      <c r="A72" s="59" t="n">
        <v>41</v>
      </c>
      <c r="B72" s="59" t="s">
        <v>111</v>
      </c>
      <c r="C72" s="61" t="b">
        <f aca="false">FALSE()</f>
        <v>0</v>
      </c>
      <c r="D72" s="59" t="s">
        <v>3</v>
      </c>
      <c r="E72" s="59" t="s">
        <v>34</v>
      </c>
      <c r="F72" s="59" t="s">
        <v>81</v>
      </c>
      <c r="G72" s="59" t="s">
        <v>82</v>
      </c>
      <c r="H72" s="59" t="n">
        <v>30.827</v>
      </c>
      <c r="I72" s="59" t="n">
        <v>27.957</v>
      </c>
      <c r="J72" s="59" t="n">
        <v>4.652</v>
      </c>
      <c r="K72" s="59"/>
      <c r="L72" s="59"/>
      <c r="M72" s="59"/>
      <c r="N72" s="61" t="b">
        <f aca="false">TRUE()</f>
        <v>1</v>
      </c>
      <c r="O72" s="59" t="n">
        <v>0.219</v>
      </c>
      <c r="P72" s="61" t="b">
        <f aca="false">TRUE()</f>
        <v>1</v>
      </c>
      <c r="Q72" s="59" t="n">
        <v>1</v>
      </c>
      <c r="R72" s="59" t="n">
        <v>40</v>
      </c>
      <c r="S72" s="59"/>
      <c r="T72" s="59"/>
      <c r="U72" s="59"/>
      <c r="V72" s="59" t="n">
        <v>80.604</v>
      </c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 t="s">
        <v>83</v>
      </c>
      <c r="AH72" s="59" t="s">
        <v>84</v>
      </c>
      <c r="AI72" s="59" t="s">
        <v>84</v>
      </c>
      <c r="AJ72" s="59"/>
    </row>
    <row r="73" customFormat="false" ht="15.75" hidden="false" customHeight="false" outlineLevel="0" collapsed="false">
      <c r="A73" s="59" t="n">
        <v>42</v>
      </c>
      <c r="B73" s="59" t="s">
        <v>112</v>
      </c>
      <c r="C73" s="61" t="b">
        <f aca="false">FALSE()</f>
        <v>0</v>
      </c>
      <c r="D73" s="59" t="s">
        <v>4</v>
      </c>
      <c r="E73" s="59" t="s">
        <v>34</v>
      </c>
      <c r="F73" s="59" t="s">
        <v>81</v>
      </c>
      <c r="G73" s="59" t="s">
        <v>82</v>
      </c>
      <c r="H73" s="59" t="n">
        <v>31.85</v>
      </c>
      <c r="I73" s="59" t="n">
        <v>27.957</v>
      </c>
      <c r="J73" s="59" t="n">
        <v>4.652</v>
      </c>
      <c r="K73" s="59"/>
      <c r="L73" s="59"/>
      <c r="M73" s="59"/>
      <c r="N73" s="61" t="b">
        <f aca="false">TRUE()</f>
        <v>1</v>
      </c>
      <c r="O73" s="59" t="n">
        <v>0.219</v>
      </c>
      <c r="P73" s="61" t="b">
        <f aca="false">TRUE()</f>
        <v>1</v>
      </c>
      <c r="Q73" s="59" t="n">
        <v>1</v>
      </c>
      <c r="R73" s="59" t="n">
        <v>40</v>
      </c>
      <c r="S73" s="59"/>
      <c r="T73" s="59"/>
      <c r="U73" s="59"/>
      <c r="V73" s="59" t="n">
        <v>80.604</v>
      </c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 t="s">
        <v>83</v>
      </c>
      <c r="AH73" s="59" t="s">
        <v>84</v>
      </c>
      <c r="AI73" s="59" t="s">
        <v>84</v>
      </c>
      <c r="AJ73" s="59"/>
    </row>
    <row r="74" customFormat="false" ht="15.75" hidden="false" customHeight="false" outlineLevel="0" collapsed="false">
      <c r="A74" s="59" t="n">
        <v>43</v>
      </c>
      <c r="B74" s="59" t="s">
        <v>113</v>
      </c>
      <c r="C74" s="61" t="b">
        <f aca="false">FALSE()</f>
        <v>0</v>
      </c>
      <c r="D74" s="59" t="s">
        <v>5</v>
      </c>
      <c r="E74" s="59" t="s">
        <v>34</v>
      </c>
      <c r="F74" s="59" t="s">
        <v>81</v>
      </c>
      <c r="G74" s="59" t="s">
        <v>82</v>
      </c>
      <c r="H74" s="59" t="n">
        <v>31.947</v>
      </c>
      <c r="I74" s="59" t="n">
        <v>27.957</v>
      </c>
      <c r="J74" s="59" t="n">
        <v>4.652</v>
      </c>
      <c r="K74" s="59"/>
      <c r="L74" s="59"/>
      <c r="M74" s="59"/>
      <c r="N74" s="61" t="b">
        <f aca="false">TRUE()</f>
        <v>1</v>
      </c>
      <c r="O74" s="59" t="n">
        <v>0.219</v>
      </c>
      <c r="P74" s="61" t="b">
        <f aca="false">TRUE()</f>
        <v>1</v>
      </c>
      <c r="Q74" s="59" t="n">
        <v>1</v>
      </c>
      <c r="R74" s="59" t="n">
        <v>40</v>
      </c>
      <c r="S74" s="59"/>
      <c r="T74" s="59"/>
      <c r="U74" s="59"/>
      <c r="V74" s="59" t="n">
        <v>80.604</v>
      </c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 t="s">
        <v>83</v>
      </c>
      <c r="AH74" s="59" t="s">
        <v>84</v>
      </c>
      <c r="AI74" s="59" t="s">
        <v>84</v>
      </c>
      <c r="AJ74" s="59"/>
    </row>
    <row r="75" customFormat="false" ht="15.75" hidden="false" customHeight="false" outlineLevel="0" collapsed="false">
      <c r="A75" s="59" t="n">
        <v>44</v>
      </c>
      <c r="B75" s="59" t="s">
        <v>114</v>
      </c>
      <c r="C75" s="61" t="b">
        <f aca="false">FALSE()</f>
        <v>0</v>
      </c>
      <c r="D75" s="59" t="s">
        <v>6</v>
      </c>
      <c r="E75" s="59" t="s">
        <v>34</v>
      </c>
      <c r="F75" s="59" t="s">
        <v>81</v>
      </c>
      <c r="G75" s="59" t="s">
        <v>82</v>
      </c>
      <c r="H75" s="59" t="n">
        <v>33.406</v>
      </c>
      <c r="I75" s="59" t="n">
        <v>27.957</v>
      </c>
      <c r="J75" s="59" t="n">
        <v>4.652</v>
      </c>
      <c r="K75" s="59"/>
      <c r="L75" s="59"/>
      <c r="M75" s="59"/>
      <c r="N75" s="61" t="b">
        <f aca="false">TRUE()</f>
        <v>1</v>
      </c>
      <c r="O75" s="59" t="n">
        <v>0.219</v>
      </c>
      <c r="P75" s="61" t="b">
        <f aca="false">TRUE()</f>
        <v>1</v>
      </c>
      <c r="Q75" s="59" t="n">
        <v>1</v>
      </c>
      <c r="R75" s="59" t="n">
        <v>40</v>
      </c>
      <c r="S75" s="59"/>
      <c r="T75" s="59"/>
      <c r="U75" s="59"/>
      <c r="V75" s="59" t="n">
        <v>80.506</v>
      </c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 t="s">
        <v>83</v>
      </c>
      <c r="AH75" s="59" t="s">
        <v>84</v>
      </c>
      <c r="AI75" s="59" t="s">
        <v>84</v>
      </c>
      <c r="AJ75" s="59"/>
    </row>
    <row r="76" customFormat="false" ht="15.75" hidden="false" customHeight="false" outlineLevel="0" collapsed="false">
      <c r="A76" s="59" t="n">
        <v>45</v>
      </c>
      <c r="B76" s="59" t="s">
        <v>115</v>
      </c>
      <c r="C76" s="61" t="b">
        <f aca="false">FALSE()</f>
        <v>0</v>
      </c>
      <c r="D76" s="59" t="s">
        <v>7</v>
      </c>
      <c r="E76" s="59" t="s">
        <v>34</v>
      </c>
      <c r="F76" s="59" t="s">
        <v>81</v>
      </c>
      <c r="G76" s="59" t="s">
        <v>82</v>
      </c>
      <c r="H76" s="59" t="n">
        <v>33.012</v>
      </c>
      <c r="I76" s="59" t="n">
        <v>27.957</v>
      </c>
      <c r="J76" s="59" t="n">
        <v>4.652</v>
      </c>
      <c r="K76" s="59"/>
      <c r="L76" s="59"/>
      <c r="M76" s="59"/>
      <c r="N76" s="61" t="b">
        <f aca="false">TRUE()</f>
        <v>1</v>
      </c>
      <c r="O76" s="59" t="n">
        <v>0.219</v>
      </c>
      <c r="P76" s="61" t="b">
        <f aca="false">TRUE()</f>
        <v>1</v>
      </c>
      <c r="Q76" s="59" t="n">
        <v>1</v>
      </c>
      <c r="R76" s="59" t="n">
        <v>40</v>
      </c>
      <c r="S76" s="59"/>
      <c r="T76" s="59"/>
      <c r="U76" s="59"/>
      <c r="V76" s="59" t="n">
        <v>80.506</v>
      </c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 t="s">
        <v>83</v>
      </c>
      <c r="AH76" s="59" t="s">
        <v>84</v>
      </c>
      <c r="AI76" s="59" t="s">
        <v>84</v>
      </c>
      <c r="AJ76" s="59"/>
    </row>
    <row r="77" customFormat="false" ht="15.75" hidden="false" customHeight="false" outlineLevel="0" collapsed="false">
      <c r="A77" s="59" t="n">
        <v>46</v>
      </c>
      <c r="B77" s="59" t="s">
        <v>116</v>
      </c>
      <c r="C77" s="61" t="b">
        <f aca="false">FALSE()</f>
        <v>0</v>
      </c>
      <c r="D77" s="59" t="s">
        <v>8</v>
      </c>
      <c r="E77" s="59" t="s">
        <v>34</v>
      </c>
      <c r="F77" s="59" t="s">
        <v>81</v>
      </c>
      <c r="G77" s="59" t="s">
        <v>82</v>
      </c>
      <c r="H77" s="59" t="n">
        <v>31.702</v>
      </c>
      <c r="I77" s="59" t="n">
        <v>27.957</v>
      </c>
      <c r="J77" s="59" t="n">
        <v>4.652</v>
      </c>
      <c r="K77" s="59"/>
      <c r="L77" s="59"/>
      <c r="M77" s="59"/>
      <c r="N77" s="61" t="b">
        <f aca="false">TRUE()</f>
        <v>1</v>
      </c>
      <c r="O77" s="59" t="n">
        <v>0.219</v>
      </c>
      <c r="P77" s="61" t="b">
        <f aca="false">TRUE()</f>
        <v>1</v>
      </c>
      <c r="Q77" s="59" t="n">
        <v>1</v>
      </c>
      <c r="R77" s="59" t="n">
        <v>40</v>
      </c>
      <c r="S77" s="59"/>
      <c r="T77" s="59"/>
      <c r="U77" s="59"/>
      <c r="V77" s="59" t="n">
        <v>80.506</v>
      </c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 t="s">
        <v>83</v>
      </c>
      <c r="AH77" s="59" t="s">
        <v>84</v>
      </c>
      <c r="AI77" s="59" t="s">
        <v>84</v>
      </c>
      <c r="AJ77" s="59"/>
    </row>
    <row r="78" customFormat="false" ht="15.75" hidden="false" customHeight="false" outlineLevel="0" collapsed="false">
      <c r="A78" s="59" t="n">
        <v>47</v>
      </c>
      <c r="B78" s="59" t="s">
        <v>117</v>
      </c>
      <c r="C78" s="61" t="b">
        <f aca="false">FALSE()</f>
        <v>0</v>
      </c>
      <c r="D78" s="59" t="s">
        <v>9</v>
      </c>
      <c r="E78" s="59" t="s">
        <v>34</v>
      </c>
      <c r="F78" s="59" t="s">
        <v>81</v>
      </c>
      <c r="G78" s="59" t="s">
        <v>82</v>
      </c>
      <c r="H78" s="59" t="n">
        <v>31.709</v>
      </c>
      <c r="I78" s="59" t="n">
        <v>27.957</v>
      </c>
      <c r="J78" s="59" t="n">
        <v>4.652</v>
      </c>
      <c r="K78" s="59"/>
      <c r="L78" s="59"/>
      <c r="M78" s="59"/>
      <c r="N78" s="61" t="b">
        <f aca="false">TRUE()</f>
        <v>1</v>
      </c>
      <c r="O78" s="59" t="n">
        <v>0.219</v>
      </c>
      <c r="P78" s="61" t="b">
        <f aca="false">TRUE()</f>
        <v>1</v>
      </c>
      <c r="Q78" s="59" t="n">
        <v>1</v>
      </c>
      <c r="R78" s="59" t="n">
        <v>40</v>
      </c>
      <c r="S78" s="59"/>
      <c r="T78" s="59"/>
      <c r="U78" s="59"/>
      <c r="V78" s="59" t="n">
        <v>80.506</v>
      </c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 t="s">
        <v>83</v>
      </c>
      <c r="AH78" s="59" t="s">
        <v>84</v>
      </c>
      <c r="AI78" s="59" t="s">
        <v>84</v>
      </c>
      <c r="AJ78" s="59"/>
    </row>
    <row r="79" customFormat="false" ht="15.75" hidden="false" customHeight="false" outlineLevel="0" collapsed="false">
      <c r="A79" s="59" t="n">
        <v>48</v>
      </c>
      <c r="B79" s="59" t="s">
        <v>118</v>
      </c>
      <c r="C79" s="61" t="b">
        <f aca="false">FALSE()</f>
        <v>0</v>
      </c>
      <c r="D79" s="59" t="s">
        <v>10</v>
      </c>
      <c r="E79" s="59" t="s">
        <v>34</v>
      </c>
      <c r="F79" s="59" t="s">
        <v>81</v>
      </c>
      <c r="G79" s="59" t="s">
        <v>82</v>
      </c>
      <c r="H79" s="59" t="n">
        <v>32.619</v>
      </c>
      <c r="I79" s="59" t="n">
        <v>27.957</v>
      </c>
      <c r="J79" s="59" t="n">
        <v>4.652</v>
      </c>
      <c r="K79" s="59"/>
      <c r="L79" s="59"/>
      <c r="M79" s="59"/>
      <c r="N79" s="61" t="b">
        <f aca="false">TRUE()</f>
        <v>1</v>
      </c>
      <c r="O79" s="59" t="n">
        <v>0.219</v>
      </c>
      <c r="P79" s="61" t="b">
        <f aca="false">TRUE()</f>
        <v>1</v>
      </c>
      <c r="Q79" s="59" t="n">
        <v>1</v>
      </c>
      <c r="R79" s="59" t="n">
        <v>40</v>
      </c>
      <c r="S79" s="59"/>
      <c r="T79" s="59"/>
      <c r="U79" s="59"/>
      <c r="V79" s="59" t="n">
        <v>80.506</v>
      </c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 t="s">
        <v>83</v>
      </c>
      <c r="AH79" s="59" t="s">
        <v>84</v>
      </c>
      <c r="AI79" s="59" t="s">
        <v>84</v>
      </c>
      <c r="AJ79" s="59"/>
    </row>
    <row r="80" customFormat="false" ht="15.75" hidden="false" customHeight="false" outlineLevel="0" collapsed="false">
      <c r="A80" s="59" t="n">
        <v>53</v>
      </c>
      <c r="B80" s="59" t="s">
        <v>119</v>
      </c>
      <c r="C80" s="61" t="b">
        <f aca="false">FALSE()</f>
        <v>0</v>
      </c>
      <c r="D80" s="59" t="s">
        <v>11</v>
      </c>
      <c r="E80" s="59" t="s">
        <v>34</v>
      </c>
      <c r="F80" s="59" t="s">
        <v>81</v>
      </c>
      <c r="G80" s="59" t="s">
        <v>82</v>
      </c>
      <c r="H80" s="59" t="n">
        <v>32.23</v>
      </c>
      <c r="I80" s="59" t="n">
        <v>27.957</v>
      </c>
      <c r="J80" s="59" t="n">
        <v>4.652</v>
      </c>
      <c r="K80" s="59"/>
      <c r="L80" s="59"/>
      <c r="M80" s="59"/>
      <c r="N80" s="61" t="b">
        <f aca="false">TRUE()</f>
        <v>1</v>
      </c>
      <c r="O80" s="59" t="n">
        <v>0.219</v>
      </c>
      <c r="P80" s="61" t="b">
        <f aca="false">TRUE()</f>
        <v>1</v>
      </c>
      <c r="Q80" s="59" t="n">
        <v>1</v>
      </c>
      <c r="R80" s="59" t="n">
        <v>40</v>
      </c>
      <c r="S80" s="59"/>
      <c r="T80" s="59"/>
      <c r="U80" s="59"/>
      <c r="V80" s="59" t="n">
        <v>80.506</v>
      </c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 t="s">
        <v>83</v>
      </c>
      <c r="AH80" s="59" t="s">
        <v>84</v>
      </c>
      <c r="AI80" s="59" t="s">
        <v>84</v>
      </c>
      <c r="AJ80" s="59"/>
    </row>
    <row r="81" customFormat="false" ht="15.75" hidden="false" customHeight="false" outlineLevel="0" collapsed="false">
      <c r="A81" s="59" t="n">
        <v>54</v>
      </c>
      <c r="B81" s="59" t="s">
        <v>120</v>
      </c>
      <c r="C81" s="61" t="b">
        <f aca="false">FALSE()</f>
        <v>0</v>
      </c>
      <c r="D81" s="59" t="s">
        <v>23</v>
      </c>
      <c r="E81" s="59" t="s">
        <v>34</v>
      </c>
      <c r="F81" s="59" t="s">
        <v>81</v>
      </c>
      <c r="G81" s="59" t="s">
        <v>82</v>
      </c>
      <c r="H81" s="59" t="n">
        <v>31.949</v>
      </c>
      <c r="I81" s="59" t="n">
        <v>27.957</v>
      </c>
      <c r="J81" s="59" t="n">
        <v>4.652</v>
      </c>
      <c r="K81" s="59"/>
      <c r="L81" s="59"/>
      <c r="M81" s="59"/>
      <c r="N81" s="61" t="b">
        <f aca="false">TRUE()</f>
        <v>1</v>
      </c>
      <c r="O81" s="59" t="n">
        <v>0.219</v>
      </c>
      <c r="P81" s="61" t="b">
        <f aca="false">TRUE()</f>
        <v>1</v>
      </c>
      <c r="Q81" s="59" t="n">
        <v>1</v>
      </c>
      <c r="R81" s="59" t="n">
        <v>40</v>
      </c>
      <c r="S81" s="59"/>
      <c r="T81" s="59"/>
      <c r="U81" s="59"/>
      <c r="V81" s="59" t="n">
        <v>80.604</v>
      </c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 t="s">
        <v>83</v>
      </c>
      <c r="AH81" s="59" t="s">
        <v>84</v>
      </c>
      <c r="AI81" s="59" t="s">
        <v>84</v>
      </c>
      <c r="AJ81" s="59"/>
    </row>
    <row r="82" customFormat="false" ht="15.75" hidden="false" customHeight="false" outlineLevel="0" collapsed="false">
      <c r="A82" s="59" t="n">
        <v>55</v>
      </c>
      <c r="B82" s="59" t="s">
        <v>121</v>
      </c>
      <c r="C82" s="61" t="b">
        <f aca="false">FALSE()</f>
        <v>0</v>
      </c>
      <c r="D82" s="59" t="s">
        <v>24</v>
      </c>
      <c r="E82" s="59" t="s">
        <v>34</v>
      </c>
      <c r="F82" s="59" t="s">
        <v>81</v>
      </c>
      <c r="G82" s="59" t="s">
        <v>82</v>
      </c>
      <c r="H82" s="59" t="n">
        <v>31.22</v>
      </c>
      <c r="I82" s="59" t="n">
        <v>27.957</v>
      </c>
      <c r="J82" s="59" t="n">
        <v>4.652</v>
      </c>
      <c r="K82" s="59"/>
      <c r="L82" s="59"/>
      <c r="M82" s="59"/>
      <c r="N82" s="61" t="b">
        <f aca="false">TRUE()</f>
        <v>1</v>
      </c>
      <c r="O82" s="59" t="n">
        <v>0.219</v>
      </c>
      <c r="P82" s="61" t="b">
        <f aca="false">TRUE()</f>
        <v>1</v>
      </c>
      <c r="Q82" s="59" t="n">
        <v>1</v>
      </c>
      <c r="R82" s="59" t="n">
        <v>40</v>
      </c>
      <c r="S82" s="59"/>
      <c r="T82" s="59"/>
      <c r="U82" s="59"/>
      <c r="V82" s="59" t="n">
        <v>80.604</v>
      </c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 t="s">
        <v>83</v>
      </c>
      <c r="AH82" s="59" t="s">
        <v>84</v>
      </c>
      <c r="AI82" s="59" t="s">
        <v>84</v>
      </c>
      <c r="AJ82" s="59"/>
    </row>
    <row r="83" customFormat="false" ht="15.75" hidden="false" customHeight="false" outlineLevel="0" collapsed="false">
      <c r="A83" s="59" t="n">
        <v>56</v>
      </c>
      <c r="B83" s="59" t="s">
        <v>122</v>
      </c>
      <c r="C83" s="61" t="b">
        <f aca="false">FALSE()</f>
        <v>0</v>
      </c>
      <c r="D83" s="59" t="s">
        <v>25</v>
      </c>
      <c r="E83" s="59" t="s">
        <v>34</v>
      </c>
      <c r="F83" s="59" t="s">
        <v>81</v>
      </c>
      <c r="G83" s="59" t="s">
        <v>82</v>
      </c>
      <c r="H83" s="59" t="n">
        <v>31.857</v>
      </c>
      <c r="I83" s="59" t="n">
        <v>27.957</v>
      </c>
      <c r="J83" s="59" t="n">
        <v>4.652</v>
      </c>
      <c r="K83" s="59"/>
      <c r="L83" s="59"/>
      <c r="M83" s="59"/>
      <c r="N83" s="61" t="b">
        <f aca="false">TRUE()</f>
        <v>1</v>
      </c>
      <c r="O83" s="59" t="n">
        <v>0.219</v>
      </c>
      <c r="P83" s="61" t="b">
        <f aca="false">TRUE()</f>
        <v>1</v>
      </c>
      <c r="Q83" s="59" t="n">
        <v>1</v>
      </c>
      <c r="R83" s="59" t="n">
        <v>40</v>
      </c>
      <c r="S83" s="59"/>
      <c r="T83" s="59"/>
      <c r="U83" s="59"/>
      <c r="V83" s="59" t="n">
        <v>80.506</v>
      </c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 t="s">
        <v>83</v>
      </c>
      <c r="AH83" s="59" t="s">
        <v>84</v>
      </c>
      <c r="AI83" s="59" t="s">
        <v>84</v>
      </c>
      <c r="AJ83" s="59"/>
    </row>
    <row r="84" customFormat="false" ht="15.75" hidden="false" customHeight="false" outlineLevel="0" collapsed="false">
      <c r="A84" s="59" t="n">
        <v>57</v>
      </c>
      <c r="B84" s="59" t="s">
        <v>123</v>
      </c>
      <c r="C84" s="61" t="b">
        <f aca="false">FALSE()</f>
        <v>0</v>
      </c>
      <c r="D84" s="59" t="s">
        <v>26</v>
      </c>
      <c r="E84" s="59" t="s">
        <v>34</v>
      </c>
      <c r="F84" s="59" t="s">
        <v>81</v>
      </c>
      <c r="G84" s="59" t="s">
        <v>82</v>
      </c>
      <c r="H84" s="59" t="n">
        <v>31.761</v>
      </c>
      <c r="I84" s="59" t="n">
        <v>27.957</v>
      </c>
      <c r="J84" s="59" t="n">
        <v>4.652</v>
      </c>
      <c r="K84" s="59"/>
      <c r="L84" s="59"/>
      <c r="M84" s="59"/>
      <c r="N84" s="61" t="b">
        <f aca="false">TRUE()</f>
        <v>1</v>
      </c>
      <c r="O84" s="59" t="n">
        <v>0.219</v>
      </c>
      <c r="P84" s="61" t="b">
        <f aca="false">TRUE()</f>
        <v>1</v>
      </c>
      <c r="Q84" s="59" t="n">
        <v>1</v>
      </c>
      <c r="R84" s="59" t="n">
        <v>40</v>
      </c>
      <c r="S84" s="59"/>
      <c r="T84" s="59"/>
      <c r="U84" s="59"/>
      <c r="V84" s="59" t="n">
        <v>80.506</v>
      </c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 t="s">
        <v>83</v>
      </c>
      <c r="AH84" s="59" t="s">
        <v>84</v>
      </c>
      <c r="AI84" s="59" t="s">
        <v>84</v>
      </c>
      <c r="AJ84" s="59"/>
    </row>
    <row r="85" customFormat="false" ht="15.75" hidden="false" customHeight="false" outlineLevel="0" collapsed="false">
      <c r="A85" s="59" t="n">
        <v>58</v>
      </c>
      <c r="B85" s="59" t="s">
        <v>124</v>
      </c>
      <c r="C85" s="61" t="b">
        <f aca="false">FALSE()</f>
        <v>0</v>
      </c>
      <c r="D85" s="59" t="s">
        <v>27</v>
      </c>
      <c r="E85" s="59" t="s">
        <v>34</v>
      </c>
      <c r="F85" s="59" t="s">
        <v>81</v>
      </c>
      <c r="G85" s="59" t="s">
        <v>82</v>
      </c>
      <c r="H85" s="59" t="n">
        <v>30.97</v>
      </c>
      <c r="I85" s="59" t="n">
        <v>27.957</v>
      </c>
      <c r="J85" s="59" t="n">
        <v>4.652</v>
      </c>
      <c r="K85" s="59"/>
      <c r="L85" s="59"/>
      <c r="M85" s="59"/>
      <c r="N85" s="61" t="b">
        <f aca="false">TRUE()</f>
        <v>1</v>
      </c>
      <c r="O85" s="59" t="n">
        <v>0.219</v>
      </c>
      <c r="P85" s="61" t="b">
        <f aca="false">TRUE()</f>
        <v>1</v>
      </c>
      <c r="Q85" s="59" t="n">
        <v>1</v>
      </c>
      <c r="R85" s="59" t="n">
        <v>40</v>
      </c>
      <c r="S85" s="59"/>
      <c r="T85" s="59"/>
      <c r="U85" s="59"/>
      <c r="V85" s="59" t="n">
        <v>80.506</v>
      </c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 t="s">
        <v>83</v>
      </c>
      <c r="AH85" s="59" t="s">
        <v>84</v>
      </c>
      <c r="AI85" s="59" t="s">
        <v>84</v>
      </c>
      <c r="AJ85" s="59"/>
    </row>
    <row r="86" customFormat="false" ht="15.75" hidden="false" customHeight="false" outlineLevel="0" collapsed="false">
      <c r="A86" s="59" t="n">
        <v>59</v>
      </c>
      <c r="B86" s="59" t="s">
        <v>125</v>
      </c>
      <c r="C86" s="61" t="b">
        <f aca="false">FALSE()</f>
        <v>0</v>
      </c>
      <c r="D86" s="59" t="s">
        <v>28</v>
      </c>
      <c r="E86" s="59" t="s">
        <v>34</v>
      </c>
      <c r="F86" s="59" t="s">
        <v>81</v>
      </c>
      <c r="G86" s="59" t="s">
        <v>82</v>
      </c>
      <c r="H86" s="59" t="n">
        <v>31.718</v>
      </c>
      <c r="I86" s="59" t="n">
        <v>27.957</v>
      </c>
      <c r="J86" s="59" t="n">
        <v>4.652</v>
      </c>
      <c r="K86" s="59"/>
      <c r="L86" s="59"/>
      <c r="M86" s="59"/>
      <c r="N86" s="61" t="b">
        <f aca="false">TRUE()</f>
        <v>1</v>
      </c>
      <c r="O86" s="59" t="n">
        <v>0.219</v>
      </c>
      <c r="P86" s="61" t="b">
        <f aca="false">TRUE()</f>
        <v>1</v>
      </c>
      <c r="Q86" s="59" t="n">
        <v>1</v>
      </c>
      <c r="R86" s="59" t="n">
        <v>40</v>
      </c>
      <c r="S86" s="59"/>
      <c r="T86" s="59"/>
      <c r="U86" s="59"/>
      <c r="V86" s="59" t="n">
        <v>80.506</v>
      </c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 t="s">
        <v>83</v>
      </c>
      <c r="AH86" s="59" t="s">
        <v>84</v>
      </c>
      <c r="AI86" s="59" t="s">
        <v>84</v>
      </c>
      <c r="AJ86" s="59"/>
    </row>
    <row r="87" customFormat="false" ht="15.75" hidden="false" customHeight="false" outlineLevel="0" collapsed="false">
      <c r="A87" s="59" t="n">
        <v>60</v>
      </c>
      <c r="B87" s="59" t="s">
        <v>126</v>
      </c>
      <c r="C87" s="61" t="b">
        <f aca="false">FALSE()</f>
        <v>0</v>
      </c>
      <c r="D87" s="59" t="s">
        <v>29</v>
      </c>
      <c r="E87" s="59" t="s">
        <v>34</v>
      </c>
      <c r="F87" s="59" t="s">
        <v>81</v>
      </c>
      <c r="G87" s="59" t="s">
        <v>82</v>
      </c>
      <c r="H87" s="59" t="n">
        <v>32.357</v>
      </c>
      <c r="I87" s="59" t="n">
        <v>27.957</v>
      </c>
      <c r="J87" s="59" t="n">
        <v>4.652</v>
      </c>
      <c r="K87" s="59"/>
      <c r="L87" s="59"/>
      <c r="M87" s="59"/>
      <c r="N87" s="61" t="b">
        <f aca="false">TRUE()</f>
        <v>1</v>
      </c>
      <c r="O87" s="59" t="n">
        <v>0.219</v>
      </c>
      <c r="P87" s="61" t="b">
        <f aca="false">TRUE()</f>
        <v>1</v>
      </c>
      <c r="Q87" s="59" t="n">
        <v>1</v>
      </c>
      <c r="R87" s="59" t="n">
        <v>40</v>
      </c>
      <c r="S87" s="59"/>
      <c r="T87" s="59"/>
      <c r="U87" s="59"/>
      <c r="V87" s="59" t="n">
        <v>80.506</v>
      </c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 t="s">
        <v>83</v>
      </c>
      <c r="AH87" s="59" t="s">
        <v>84</v>
      </c>
      <c r="AI87" s="59" t="s">
        <v>84</v>
      </c>
      <c r="AJ87" s="59"/>
    </row>
    <row r="88" customFormat="false" ht="15.75" hidden="false" customHeight="false" outlineLevel="0" collapsed="false">
      <c r="A88" s="59" t="n">
        <v>65</v>
      </c>
      <c r="B88" s="59" t="s">
        <v>127</v>
      </c>
      <c r="C88" s="61" t="b">
        <f aca="false">FALSE()</f>
        <v>0</v>
      </c>
      <c r="D88" s="59" t="s">
        <v>30</v>
      </c>
      <c r="E88" s="59" t="s">
        <v>34</v>
      </c>
      <c r="F88" s="59" t="s">
        <v>81</v>
      </c>
      <c r="G88" s="59" t="s">
        <v>82</v>
      </c>
      <c r="H88" s="59" t="n">
        <v>31.78</v>
      </c>
      <c r="I88" s="59" t="n">
        <v>27.957</v>
      </c>
      <c r="J88" s="59" t="n">
        <v>4.652</v>
      </c>
      <c r="K88" s="59"/>
      <c r="L88" s="59"/>
      <c r="M88" s="59"/>
      <c r="N88" s="61" t="b">
        <f aca="false">TRUE()</f>
        <v>1</v>
      </c>
      <c r="O88" s="59" t="n">
        <v>0.219</v>
      </c>
      <c r="P88" s="61" t="b">
        <f aca="false">TRUE()</f>
        <v>1</v>
      </c>
      <c r="Q88" s="59" t="n">
        <v>1</v>
      </c>
      <c r="R88" s="59" t="n">
        <v>40</v>
      </c>
      <c r="S88" s="59"/>
      <c r="T88" s="59"/>
      <c r="U88" s="59"/>
      <c r="V88" s="59" t="n">
        <v>80.506</v>
      </c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 t="s">
        <v>83</v>
      </c>
      <c r="AH88" s="59" t="s">
        <v>84</v>
      </c>
      <c r="AI88" s="59" t="s">
        <v>84</v>
      </c>
      <c r="AJ88" s="59"/>
    </row>
    <row r="89" customFormat="false" ht="15.75" hidden="false" customHeight="false" outlineLevel="0" collapsed="false">
      <c r="A89" s="59" t="n">
        <v>66</v>
      </c>
      <c r="B89" s="59" t="s">
        <v>128</v>
      </c>
      <c r="C89" s="61" t="b">
        <f aca="false">FALSE()</f>
        <v>0</v>
      </c>
      <c r="D89" s="59" t="s">
        <v>31</v>
      </c>
      <c r="E89" s="59" t="s">
        <v>34</v>
      </c>
      <c r="F89" s="59" t="s">
        <v>81</v>
      </c>
      <c r="G89" s="59" t="s">
        <v>82</v>
      </c>
      <c r="H89" s="59" t="n">
        <v>32.291</v>
      </c>
      <c r="I89" s="59" t="n">
        <v>27.957</v>
      </c>
      <c r="J89" s="59" t="n">
        <v>4.652</v>
      </c>
      <c r="K89" s="59"/>
      <c r="L89" s="59"/>
      <c r="M89" s="59"/>
      <c r="N89" s="61" t="b">
        <f aca="false">TRUE()</f>
        <v>1</v>
      </c>
      <c r="O89" s="59" t="n">
        <v>0.219</v>
      </c>
      <c r="P89" s="61" t="b">
        <f aca="false">TRUE()</f>
        <v>1</v>
      </c>
      <c r="Q89" s="59" t="n">
        <v>1</v>
      </c>
      <c r="R89" s="59" t="n">
        <v>40</v>
      </c>
      <c r="S89" s="59"/>
      <c r="T89" s="59"/>
      <c r="U89" s="59"/>
      <c r="V89" s="59" t="n">
        <v>80.506</v>
      </c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 t="s">
        <v>83</v>
      </c>
      <c r="AH89" s="59" t="s">
        <v>84</v>
      </c>
      <c r="AI89" s="59" t="s">
        <v>84</v>
      </c>
      <c r="AJ89" s="59"/>
    </row>
    <row r="90" customFormat="false" ht="15.75" hidden="false" customHeight="false" outlineLevel="0" collapsed="false">
      <c r="A90" s="59" t="n">
        <v>1</v>
      </c>
      <c r="B90" s="59" t="s">
        <v>80</v>
      </c>
      <c r="C90" s="61" t="b">
        <f aca="false">FALSE()</f>
        <v>0</v>
      </c>
      <c r="D90" s="59" t="n">
        <v>100</v>
      </c>
      <c r="E90" s="59" t="s">
        <v>37</v>
      </c>
      <c r="F90" s="59" t="s">
        <v>81</v>
      </c>
      <c r="G90" s="59" t="s">
        <v>82</v>
      </c>
      <c r="H90" s="59" t="n">
        <v>28.998</v>
      </c>
      <c r="I90" s="59" t="n">
        <v>26.045</v>
      </c>
      <c r="J90" s="59" t="n">
        <v>2.36</v>
      </c>
      <c r="K90" s="59"/>
      <c r="L90" s="59"/>
      <c r="M90" s="59"/>
      <c r="N90" s="61" t="b">
        <f aca="false">TRUE()</f>
        <v>1</v>
      </c>
      <c r="O90" s="59" t="n">
        <v>0.168</v>
      </c>
      <c r="P90" s="61" t="b">
        <f aca="false">TRUE()</f>
        <v>1</v>
      </c>
      <c r="Q90" s="59" t="n">
        <v>1</v>
      </c>
      <c r="R90" s="59" t="n">
        <v>40</v>
      </c>
      <c r="S90" s="59"/>
      <c r="T90" s="59"/>
      <c r="U90" s="59"/>
      <c r="V90" s="59" t="n">
        <v>79.734</v>
      </c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 t="s">
        <v>83</v>
      </c>
      <c r="AH90" s="59" t="s">
        <v>84</v>
      </c>
      <c r="AI90" s="59" t="s">
        <v>84</v>
      </c>
      <c r="AJ90" s="59"/>
    </row>
    <row r="91" customFormat="false" ht="15.75" hidden="false" customHeight="false" outlineLevel="0" collapsed="false">
      <c r="A91" s="59" t="n">
        <v>2</v>
      </c>
      <c r="B91" s="59" t="s">
        <v>85</v>
      </c>
      <c r="C91" s="61" t="b">
        <f aca="false">FALSE()</f>
        <v>0</v>
      </c>
      <c r="D91" s="59" t="n">
        <v>10</v>
      </c>
      <c r="E91" s="59" t="s">
        <v>37</v>
      </c>
      <c r="F91" s="59" t="s">
        <v>81</v>
      </c>
      <c r="G91" s="59" t="s">
        <v>82</v>
      </c>
      <c r="H91" s="59" t="n">
        <v>27.722</v>
      </c>
      <c r="I91" s="59" t="n">
        <v>26.045</v>
      </c>
      <c r="J91" s="59" t="n">
        <v>2.36</v>
      </c>
      <c r="K91" s="59"/>
      <c r="L91" s="59"/>
      <c r="M91" s="59"/>
      <c r="N91" s="61" t="b">
        <f aca="false">TRUE()</f>
        <v>1</v>
      </c>
      <c r="O91" s="59" t="n">
        <v>0.168</v>
      </c>
      <c r="P91" s="61" t="b">
        <f aca="false">TRUE()</f>
        <v>1</v>
      </c>
      <c r="Q91" s="59" t="n">
        <v>1</v>
      </c>
      <c r="R91" s="59" t="n">
        <v>40</v>
      </c>
      <c r="S91" s="59"/>
      <c r="T91" s="59"/>
      <c r="U91" s="59"/>
      <c r="V91" s="59" t="n">
        <v>79.15</v>
      </c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 t="s">
        <v>83</v>
      </c>
      <c r="AH91" s="59" t="s">
        <v>84</v>
      </c>
      <c r="AI91" s="59" t="s">
        <v>84</v>
      </c>
      <c r="AJ91" s="59"/>
    </row>
    <row r="92" customFormat="false" ht="15.75" hidden="false" customHeight="false" outlineLevel="0" collapsed="false">
      <c r="A92" s="59" t="n">
        <v>3</v>
      </c>
      <c r="B92" s="59" t="s">
        <v>86</v>
      </c>
      <c r="C92" s="61" t="b">
        <f aca="false">FALSE()</f>
        <v>0</v>
      </c>
      <c r="D92" s="59" t="n">
        <v>1</v>
      </c>
      <c r="E92" s="59" t="s">
        <v>37</v>
      </c>
      <c r="F92" s="59" t="s">
        <v>81</v>
      </c>
      <c r="G92" s="59" t="s">
        <v>82</v>
      </c>
      <c r="H92" s="59" t="n">
        <v>31.877</v>
      </c>
      <c r="I92" s="59" t="n">
        <v>26.045</v>
      </c>
      <c r="J92" s="59" t="n">
        <v>2.36</v>
      </c>
      <c r="K92" s="59"/>
      <c r="L92" s="59"/>
      <c r="M92" s="59"/>
      <c r="N92" s="61" t="b">
        <f aca="false">TRUE()</f>
        <v>1</v>
      </c>
      <c r="O92" s="59" t="n">
        <v>0.168</v>
      </c>
      <c r="P92" s="61" t="b">
        <f aca="false">TRUE()</f>
        <v>1</v>
      </c>
      <c r="Q92" s="59" t="n">
        <v>1</v>
      </c>
      <c r="R92" s="59" t="n">
        <v>40</v>
      </c>
      <c r="S92" s="59"/>
      <c r="T92" s="59"/>
      <c r="U92" s="59"/>
      <c r="V92" s="59" t="n">
        <v>79.052</v>
      </c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 t="s">
        <v>83</v>
      </c>
      <c r="AH92" s="59" t="s">
        <v>84</v>
      </c>
      <c r="AI92" s="59" t="s">
        <v>84</v>
      </c>
      <c r="AJ92" s="59"/>
    </row>
    <row r="93" customFormat="false" ht="15.75" hidden="false" customHeight="false" outlineLevel="0" collapsed="false">
      <c r="A93" s="59" t="n">
        <v>4</v>
      </c>
      <c r="B93" s="59" t="s">
        <v>87</v>
      </c>
      <c r="C93" s="61" t="b">
        <f aca="false">FALSE()</f>
        <v>0</v>
      </c>
      <c r="D93" s="59" t="n">
        <v>0.1</v>
      </c>
      <c r="E93" s="59" t="s">
        <v>37</v>
      </c>
      <c r="F93" s="59" t="s">
        <v>81</v>
      </c>
      <c r="G93" s="59" t="s">
        <v>82</v>
      </c>
      <c r="H93" s="59" t="n">
        <v>34.145</v>
      </c>
      <c r="I93" s="59" t="n">
        <v>26.045</v>
      </c>
      <c r="J93" s="59" t="n">
        <v>2.36</v>
      </c>
      <c r="K93" s="59"/>
      <c r="L93" s="59"/>
      <c r="M93" s="59"/>
      <c r="N93" s="61" t="b">
        <f aca="false">TRUE()</f>
        <v>1</v>
      </c>
      <c r="O93" s="59" t="n">
        <v>0.168</v>
      </c>
      <c r="P93" s="61" t="b">
        <f aca="false">TRUE()</f>
        <v>1</v>
      </c>
      <c r="Q93" s="59" t="n">
        <v>1</v>
      </c>
      <c r="R93" s="59" t="n">
        <v>40</v>
      </c>
      <c r="S93" s="59"/>
      <c r="T93" s="59"/>
      <c r="U93" s="59"/>
      <c r="V93" s="59" t="n">
        <v>79.052</v>
      </c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 t="s">
        <v>83</v>
      </c>
      <c r="AH93" s="59" t="s">
        <v>83</v>
      </c>
      <c r="AI93" s="59" t="s">
        <v>84</v>
      </c>
      <c r="AJ93" s="59"/>
    </row>
    <row r="94" customFormat="false" ht="15.75" hidden="false" customHeight="false" outlineLevel="0" collapsed="false">
      <c r="A94" s="59" t="n">
        <v>5</v>
      </c>
      <c r="B94" s="59" t="s">
        <v>89</v>
      </c>
      <c r="C94" s="61" t="b">
        <f aca="false">FALSE()</f>
        <v>0</v>
      </c>
      <c r="D94" s="59" t="s">
        <v>3</v>
      </c>
      <c r="E94" s="59" t="s">
        <v>37</v>
      </c>
      <c r="F94" s="59" t="s">
        <v>81</v>
      </c>
      <c r="G94" s="59" t="s">
        <v>82</v>
      </c>
      <c r="H94" s="59" t="n">
        <v>25.634</v>
      </c>
      <c r="I94" s="59" t="n">
        <v>26.045</v>
      </c>
      <c r="J94" s="59" t="n">
        <v>2.36</v>
      </c>
      <c r="K94" s="59"/>
      <c r="L94" s="59"/>
      <c r="M94" s="59"/>
      <c r="N94" s="61" t="b">
        <f aca="false">TRUE()</f>
        <v>1</v>
      </c>
      <c r="O94" s="59" t="n">
        <v>0.168</v>
      </c>
      <c r="P94" s="61" t="b">
        <f aca="false">TRUE()</f>
        <v>1</v>
      </c>
      <c r="Q94" s="59" t="n">
        <v>1</v>
      </c>
      <c r="R94" s="59" t="n">
        <v>40</v>
      </c>
      <c r="S94" s="59"/>
      <c r="T94" s="59"/>
      <c r="U94" s="59"/>
      <c r="V94" s="59" t="n">
        <v>79.442</v>
      </c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 t="s">
        <v>83</v>
      </c>
      <c r="AH94" s="59" t="s">
        <v>84</v>
      </c>
      <c r="AI94" s="59" t="s">
        <v>84</v>
      </c>
      <c r="AJ94" s="59"/>
    </row>
    <row r="95" customFormat="false" ht="15.75" hidden="false" customHeight="false" outlineLevel="0" collapsed="false">
      <c r="A95" s="59" t="n">
        <v>6</v>
      </c>
      <c r="B95" s="59" t="s">
        <v>90</v>
      </c>
      <c r="C95" s="61" t="b">
        <f aca="false">FALSE()</f>
        <v>0</v>
      </c>
      <c r="D95" s="59" t="s">
        <v>4</v>
      </c>
      <c r="E95" s="59" t="s">
        <v>37</v>
      </c>
      <c r="F95" s="59" t="s">
        <v>81</v>
      </c>
      <c r="G95" s="59" t="s">
        <v>82</v>
      </c>
      <c r="H95" s="59" t="n">
        <v>25.872</v>
      </c>
      <c r="I95" s="59" t="n">
        <v>26.045</v>
      </c>
      <c r="J95" s="59" t="n">
        <v>2.36</v>
      </c>
      <c r="K95" s="59"/>
      <c r="L95" s="59"/>
      <c r="M95" s="59"/>
      <c r="N95" s="61" t="b">
        <f aca="false">TRUE()</f>
        <v>1</v>
      </c>
      <c r="O95" s="59" t="n">
        <v>0.168</v>
      </c>
      <c r="P95" s="61" t="b">
        <f aca="false">TRUE()</f>
        <v>1</v>
      </c>
      <c r="Q95" s="59" t="n">
        <v>1</v>
      </c>
      <c r="R95" s="59" t="n">
        <v>40</v>
      </c>
      <c r="S95" s="59"/>
      <c r="T95" s="59"/>
      <c r="U95" s="59"/>
      <c r="V95" s="59" t="n">
        <v>79.539</v>
      </c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 t="s">
        <v>83</v>
      </c>
      <c r="AH95" s="59" t="s">
        <v>84</v>
      </c>
      <c r="AI95" s="59" t="s">
        <v>84</v>
      </c>
      <c r="AJ95" s="59"/>
    </row>
    <row r="96" customFormat="false" ht="15.75" hidden="false" customHeight="false" outlineLevel="0" collapsed="false">
      <c r="A96" s="59" t="n">
        <v>7</v>
      </c>
      <c r="B96" s="59" t="s">
        <v>91</v>
      </c>
      <c r="C96" s="61" t="b">
        <f aca="false">FALSE()</f>
        <v>0</v>
      </c>
      <c r="D96" s="59" t="s">
        <v>5</v>
      </c>
      <c r="E96" s="59" t="s">
        <v>37</v>
      </c>
      <c r="F96" s="59" t="s">
        <v>81</v>
      </c>
      <c r="G96" s="59" t="s">
        <v>82</v>
      </c>
      <c r="H96" s="59" t="n">
        <v>25.635</v>
      </c>
      <c r="I96" s="59" t="n">
        <v>26.045</v>
      </c>
      <c r="J96" s="59" t="n">
        <v>2.36</v>
      </c>
      <c r="K96" s="59"/>
      <c r="L96" s="59"/>
      <c r="M96" s="59"/>
      <c r="N96" s="61" t="b">
        <f aca="false">TRUE()</f>
        <v>1</v>
      </c>
      <c r="O96" s="59" t="n">
        <v>0.168</v>
      </c>
      <c r="P96" s="61" t="b">
        <f aca="false">TRUE()</f>
        <v>1</v>
      </c>
      <c r="Q96" s="59" t="n">
        <v>1</v>
      </c>
      <c r="R96" s="59" t="n">
        <v>40</v>
      </c>
      <c r="S96" s="59"/>
      <c r="T96" s="59"/>
      <c r="U96" s="59"/>
      <c r="V96" s="59" t="n">
        <v>79.539</v>
      </c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 t="s">
        <v>83</v>
      </c>
      <c r="AH96" s="59" t="s">
        <v>84</v>
      </c>
      <c r="AI96" s="59" t="s">
        <v>84</v>
      </c>
      <c r="AJ96" s="59"/>
    </row>
    <row r="97" customFormat="false" ht="15.75" hidden="false" customHeight="false" outlineLevel="0" collapsed="false">
      <c r="A97" s="59" t="n">
        <v>8</v>
      </c>
      <c r="B97" s="59" t="s">
        <v>92</v>
      </c>
      <c r="C97" s="61" t="b">
        <f aca="false">FALSE()</f>
        <v>0</v>
      </c>
      <c r="D97" s="59" t="s">
        <v>6</v>
      </c>
      <c r="E97" s="59" t="s">
        <v>37</v>
      </c>
      <c r="F97" s="59" t="s">
        <v>81</v>
      </c>
      <c r="G97" s="59" t="s">
        <v>82</v>
      </c>
      <c r="H97" s="59" t="n">
        <v>26.234</v>
      </c>
      <c r="I97" s="59" t="n">
        <v>26.045</v>
      </c>
      <c r="J97" s="59" t="n">
        <v>2.36</v>
      </c>
      <c r="K97" s="59"/>
      <c r="L97" s="59"/>
      <c r="M97" s="59"/>
      <c r="N97" s="61" t="b">
        <f aca="false">TRUE()</f>
        <v>1</v>
      </c>
      <c r="O97" s="59" t="n">
        <v>0.168</v>
      </c>
      <c r="P97" s="61" t="b">
        <f aca="false">TRUE()</f>
        <v>1</v>
      </c>
      <c r="Q97" s="59" t="n">
        <v>1</v>
      </c>
      <c r="R97" s="59" t="n">
        <v>40</v>
      </c>
      <c r="S97" s="59"/>
      <c r="T97" s="59"/>
      <c r="U97" s="59"/>
      <c r="V97" s="59" t="n">
        <v>79.539</v>
      </c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 t="s">
        <v>83</v>
      </c>
      <c r="AH97" s="59" t="s">
        <v>84</v>
      </c>
      <c r="AI97" s="59" t="s">
        <v>84</v>
      </c>
      <c r="AJ97" s="59"/>
    </row>
    <row r="98" customFormat="false" ht="15.75" hidden="false" customHeight="false" outlineLevel="0" collapsed="false">
      <c r="A98" s="59" t="n">
        <v>9</v>
      </c>
      <c r="B98" s="59" t="s">
        <v>93</v>
      </c>
      <c r="C98" s="61" t="b">
        <f aca="false">FALSE()</f>
        <v>0</v>
      </c>
      <c r="D98" s="59" t="s">
        <v>7</v>
      </c>
      <c r="E98" s="59" t="s">
        <v>37</v>
      </c>
      <c r="F98" s="59" t="s">
        <v>81</v>
      </c>
      <c r="G98" s="59" t="s">
        <v>82</v>
      </c>
      <c r="H98" s="59" t="n">
        <v>26.604</v>
      </c>
      <c r="I98" s="59" t="n">
        <v>26.045</v>
      </c>
      <c r="J98" s="59" t="n">
        <v>2.36</v>
      </c>
      <c r="K98" s="59"/>
      <c r="L98" s="59"/>
      <c r="M98" s="59"/>
      <c r="N98" s="61" t="b">
        <f aca="false">TRUE()</f>
        <v>1</v>
      </c>
      <c r="O98" s="59" t="n">
        <v>0.168</v>
      </c>
      <c r="P98" s="61" t="b">
        <f aca="false">TRUE()</f>
        <v>1</v>
      </c>
      <c r="Q98" s="59" t="n">
        <v>1</v>
      </c>
      <c r="R98" s="59" t="n">
        <v>40</v>
      </c>
      <c r="S98" s="59"/>
      <c r="T98" s="59"/>
      <c r="U98" s="59"/>
      <c r="V98" s="59" t="n">
        <v>79.442</v>
      </c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 t="s">
        <v>83</v>
      </c>
      <c r="AH98" s="59" t="s">
        <v>84</v>
      </c>
      <c r="AI98" s="59" t="s">
        <v>84</v>
      </c>
      <c r="AJ98" s="59"/>
    </row>
    <row r="99" customFormat="false" ht="15.75" hidden="false" customHeight="false" outlineLevel="0" collapsed="false">
      <c r="A99" s="59" t="n">
        <v>10</v>
      </c>
      <c r="B99" s="59" t="s">
        <v>94</v>
      </c>
      <c r="C99" s="61" t="b">
        <f aca="false">FALSE()</f>
        <v>0</v>
      </c>
      <c r="D99" s="59" t="s">
        <v>8</v>
      </c>
      <c r="E99" s="59" t="s">
        <v>37</v>
      </c>
      <c r="F99" s="59" t="s">
        <v>81</v>
      </c>
      <c r="G99" s="59" t="s">
        <v>82</v>
      </c>
      <c r="H99" s="59" t="n">
        <v>25.277</v>
      </c>
      <c r="I99" s="59" t="n">
        <v>26.045</v>
      </c>
      <c r="J99" s="59" t="n">
        <v>2.36</v>
      </c>
      <c r="K99" s="59"/>
      <c r="L99" s="59"/>
      <c r="M99" s="59"/>
      <c r="N99" s="61" t="b">
        <f aca="false">TRUE()</f>
        <v>1</v>
      </c>
      <c r="O99" s="59" t="n">
        <v>0.168</v>
      </c>
      <c r="P99" s="61" t="b">
        <f aca="false">TRUE()</f>
        <v>1</v>
      </c>
      <c r="Q99" s="59" t="n">
        <v>1</v>
      </c>
      <c r="R99" s="59" t="n">
        <v>40</v>
      </c>
      <c r="S99" s="59"/>
      <c r="T99" s="59"/>
      <c r="U99" s="59"/>
      <c r="V99" s="59" t="n">
        <v>79.442</v>
      </c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 t="s">
        <v>83</v>
      </c>
      <c r="AH99" s="59" t="s">
        <v>84</v>
      </c>
      <c r="AI99" s="59" t="s">
        <v>84</v>
      </c>
      <c r="AJ99" s="59"/>
    </row>
    <row r="100" customFormat="false" ht="15.75" hidden="false" customHeight="false" outlineLevel="0" collapsed="false">
      <c r="A100" s="59" t="n">
        <v>11</v>
      </c>
      <c r="B100" s="59" t="s">
        <v>95</v>
      </c>
      <c r="C100" s="61" t="b">
        <f aca="false">FALSE()</f>
        <v>0</v>
      </c>
      <c r="D100" s="59" t="s">
        <v>9</v>
      </c>
      <c r="E100" s="59" t="s">
        <v>37</v>
      </c>
      <c r="F100" s="59" t="s">
        <v>81</v>
      </c>
      <c r="G100" s="59" t="s">
        <v>82</v>
      </c>
      <c r="H100" s="59" t="n">
        <v>25.778</v>
      </c>
      <c r="I100" s="59" t="n">
        <v>26.045</v>
      </c>
      <c r="J100" s="59" t="n">
        <v>2.36</v>
      </c>
      <c r="K100" s="59"/>
      <c r="L100" s="59"/>
      <c r="M100" s="59"/>
      <c r="N100" s="61" t="b">
        <f aca="false">TRUE()</f>
        <v>1</v>
      </c>
      <c r="O100" s="59" t="n">
        <v>0.168</v>
      </c>
      <c r="P100" s="61" t="b">
        <f aca="false">TRUE()</f>
        <v>1</v>
      </c>
      <c r="Q100" s="59" t="n">
        <v>1</v>
      </c>
      <c r="R100" s="59" t="n">
        <v>40</v>
      </c>
      <c r="S100" s="59"/>
      <c r="T100" s="59"/>
      <c r="U100" s="59"/>
      <c r="V100" s="59" t="n">
        <v>79.344</v>
      </c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 t="s">
        <v>83</v>
      </c>
      <c r="AH100" s="59" t="s">
        <v>84</v>
      </c>
      <c r="AI100" s="59" t="s">
        <v>84</v>
      </c>
      <c r="AJ100" s="59"/>
    </row>
    <row r="101" customFormat="false" ht="15.75" hidden="false" customHeight="false" outlineLevel="0" collapsed="false">
      <c r="A101" s="59" t="n">
        <v>12</v>
      </c>
      <c r="B101" s="59" t="s">
        <v>96</v>
      </c>
      <c r="C101" s="61" t="b">
        <f aca="false">FALSE()</f>
        <v>0</v>
      </c>
      <c r="D101" s="59" t="s">
        <v>10</v>
      </c>
      <c r="E101" s="59" t="s">
        <v>37</v>
      </c>
      <c r="F101" s="59" t="s">
        <v>81</v>
      </c>
      <c r="G101" s="59" t="s">
        <v>82</v>
      </c>
      <c r="H101" s="59" t="n">
        <v>26.368</v>
      </c>
      <c r="I101" s="59" t="n">
        <v>26.045</v>
      </c>
      <c r="J101" s="59" t="n">
        <v>2.36</v>
      </c>
      <c r="K101" s="59"/>
      <c r="L101" s="59"/>
      <c r="M101" s="59"/>
      <c r="N101" s="61" t="b">
        <f aca="false">TRUE()</f>
        <v>1</v>
      </c>
      <c r="O101" s="59" t="n">
        <v>0.168</v>
      </c>
      <c r="P101" s="61" t="b">
        <f aca="false">TRUE()</f>
        <v>1</v>
      </c>
      <c r="Q101" s="59" t="n">
        <v>1</v>
      </c>
      <c r="R101" s="59" t="n">
        <v>40</v>
      </c>
      <c r="S101" s="59"/>
      <c r="T101" s="59"/>
      <c r="U101" s="59"/>
      <c r="V101" s="59" t="n">
        <v>79.344</v>
      </c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 t="s">
        <v>83</v>
      </c>
      <c r="AH101" s="59" t="s">
        <v>84</v>
      </c>
      <c r="AI101" s="59" t="s">
        <v>84</v>
      </c>
      <c r="AJ101" s="59"/>
    </row>
    <row r="102" customFormat="false" ht="15.75" hidden="false" customHeight="false" outlineLevel="0" collapsed="false">
      <c r="A102" s="59" t="n">
        <v>17</v>
      </c>
      <c r="B102" s="59" t="s">
        <v>97</v>
      </c>
      <c r="C102" s="61" t="b">
        <f aca="false">FALSE()</f>
        <v>0</v>
      </c>
      <c r="D102" s="59" t="s">
        <v>11</v>
      </c>
      <c r="E102" s="59" t="s">
        <v>37</v>
      </c>
      <c r="F102" s="59" t="s">
        <v>81</v>
      </c>
      <c r="G102" s="59" t="s">
        <v>82</v>
      </c>
      <c r="H102" s="59" t="n">
        <v>25.87</v>
      </c>
      <c r="I102" s="59" t="n">
        <v>26.045</v>
      </c>
      <c r="J102" s="59" t="n">
        <v>2.36</v>
      </c>
      <c r="K102" s="59"/>
      <c r="L102" s="59"/>
      <c r="M102" s="59"/>
      <c r="N102" s="61" t="b">
        <f aca="false">TRUE()</f>
        <v>1</v>
      </c>
      <c r="O102" s="59" t="n">
        <v>0.168</v>
      </c>
      <c r="P102" s="61" t="b">
        <f aca="false">TRUE()</f>
        <v>1</v>
      </c>
      <c r="Q102" s="59" t="n">
        <v>1</v>
      </c>
      <c r="R102" s="59" t="n">
        <v>40</v>
      </c>
      <c r="S102" s="59"/>
      <c r="T102" s="59"/>
      <c r="U102" s="59"/>
      <c r="V102" s="59" t="n">
        <v>79.344</v>
      </c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 t="s">
        <v>83</v>
      </c>
      <c r="AH102" s="59" t="s">
        <v>84</v>
      </c>
      <c r="AI102" s="59" t="s">
        <v>84</v>
      </c>
      <c r="AJ102" s="59"/>
    </row>
    <row r="103" customFormat="false" ht="15.75" hidden="false" customHeight="false" outlineLevel="0" collapsed="false">
      <c r="A103" s="59" t="n">
        <v>18</v>
      </c>
      <c r="B103" s="59" t="s">
        <v>98</v>
      </c>
      <c r="C103" s="61" t="b">
        <f aca="false">FALSE()</f>
        <v>0</v>
      </c>
      <c r="D103" s="59" t="s">
        <v>23</v>
      </c>
      <c r="E103" s="59" t="s">
        <v>37</v>
      </c>
      <c r="F103" s="59" t="s">
        <v>81</v>
      </c>
      <c r="G103" s="59" t="s">
        <v>82</v>
      </c>
      <c r="H103" s="59" t="n">
        <v>26.028</v>
      </c>
      <c r="I103" s="59" t="n">
        <v>26.045</v>
      </c>
      <c r="J103" s="59" t="n">
        <v>2.36</v>
      </c>
      <c r="K103" s="59"/>
      <c r="L103" s="59"/>
      <c r="M103" s="59"/>
      <c r="N103" s="61" t="b">
        <f aca="false">TRUE()</f>
        <v>1</v>
      </c>
      <c r="O103" s="59" t="n">
        <v>0.168</v>
      </c>
      <c r="P103" s="61" t="b">
        <f aca="false">TRUE()</f>
        <v>1</v>
      </c>
      <c r="Q103" s="59" t="n">
        <v>1</v>
      </c>
      <c r="R103" s="59" t="n">
        <v>40</v>
      </c>
      <c r="S103" s="59"/>
      <c r="T103" s="59"/>
      <c r="U103" s="59"/>
      <c r="V103" s="59" t="n">
        <v>79.539</v>
      </c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 t="s">
        <v>83</v>
      </c>
      <c r="AH103" s="59" t="s">
        <v>84</v>
      </c>
      <c r="AI103" s="59" t="s">
        <v>84</v>
      </c>
      <c r="AJ103" s="59"/>
    </row>
    <row r="104" customFormat="false" ht="15.75" hidden="false" customHeight="false" outlineLevel="0" collapsed="false">
      <c r="A104" s="59" t="n">
        <v>19</v>
      </c>
      <c r="B104" s="59" t="s">
        <v>99</v>
      </c>
      <c r="C104" s="61" t="b">
        <f aca="false">FALSE()</f>
        <v>0</v>
      </c>
      <c r="D104" s="59" t="s">
        <v>24</v>
      </c>
      <c r="E104" s="59" t="s">
        <v>37</v>
      </c>
      <c r="F104" s="59" t="s">
        <v>81</v>
      </c>
      <c r="G104" s="59" t="s">
        <v>82</v>
      </c>
      <c r="H104" s="59" t="n">
        <v>26.586</v>
      </c>
      <c r="I104" s="59" t="n">
        <v>26.045</v>
      </c>
      <c r="J104" s="59" t="n">
        <v>2.36</v>
      </c>
      <c r="K104" s="59"/>
      <c r="L104" s="59"/>
      <c r="M104" s="59"/>
      <c r="N104" s="61" t="b">
        <f aca="false">TRUE()</f>
        <v>1</v>
      </c>
      <c r="O104" s="59" t="n">
        <v>0.168</v>
      </c>
      <c r="P104" s="61" t="b">
        <f aca="false">TRUE()</f>
        <v>1</v>
      </c>
      <c r="Q104" s="59" t="n">
        <v>1</v>
      </c>
      <c r="R104" s="59" t="n">
        <v>40</v>
      </c>
      <c r="S104" s="59"/>
      <c r="T104" s="59"/>
      <c r="U104" s="59"/>
      <c r="V104" s="59" t="n">
        <v>79.637</v>
      </c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 t="s">
        <v>83</v>
      </c>
      <c r="AH104" s="59" t="s">
        <v>84</v>
      </c>
      <c r="AI104" s="59" t="s">
        <v>84</v>
      </c>
      <c r="AJ104" s="59"/>
    </row>
    <row r="105" customFormat="false" ht="15.75" hidden="false" customHeight="false" outlineLevel="0" collapsed="false">
      <c r="A105" s="59" t="n">
        <v>20</v>
      </c>
      <c r="B105" s="59" t="s">
        <v>100</v>
      </c>
      <c r="C105" s="61" t="b">
        <f aca="false">FALSE()</f>
        <v>0</v>
      </c>
      <c r="D105" s="59" t="s">
        <v>25</v>
      </c>
      <c r="E105" s="59" t="s">
        <v>37</v>
      </c>
      <c r="F105" s="59" t="s">
        <v>81</v>
      </c>
      <c r="G105" s="59" t="s">
        <v>82</v>
      </c>
      <c r="H105" s="59" t="n">
        <v>26.164</v>
      </c>
      <c r="I105" s="59" t="n">
        <v>26.045</v>
      </c>
      <c r="J105" s="59" t="n">
        <v>2.36</v>
      </c>
      <c r="K105" s="59"/>
      <c r="L105" s="59"/>
      <c r="M105" s="59"/>
      <c r="N105" s="61" t="b">
        <f aca="false">TRUE()</f>
        <v>1</v>
      </c>
      <c r="O105" s="59" t="n">
        <v>0.168</v>
      </c>
      <c r="P105" s="61" t="b">
        <f aca="false">TRUE()</f>
        <v>1</v>
      </c>
      <c r="Q105" s="59" t="n">
        <v>1</v>
      </c>
      <c r="R105" s="59" t="n">
        <v>40</v>
      </c>
      <c r="S105" s="59"/>
      <c r="T105" s="59"/>
      <c r="U105" s="59"/>
      <c r="V105" s="59" t="n">
        <v>79.442</v>
      </c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 t="s">
        <v>83</v>
      </c>
      <c r="AH105" s="59" t="s">
        <v>84</v>
      </c>
      <c r="AI105" s="59" t="s">
        <v>84</v>
      </c>
      <c r="AJ105" s="59"/>
    </row>
    <row r="106" customFormat="false" ht="15.75" hidden="false" customHeight="false" outlineLevel="0" collapsed="false">
      <c r="A106" s="59" t="n">
        <v>21</v>
      </c>
      <c r="B106" s="59" t="s">
        <v>101</v>
      </c>
      <c r="C106" s="61" t="b">
        <f aca="false">FALSE()</f>
        <v>0</v>
      </c>
      <c r="D106" s="59" t="s">
        <v>26</v>
      </c>
      <c r="E106" s="59" t="s">
        <v>37</v>
      </c>
      <c r="F106" s="59" t="s">
        <v>81</v>
      </c>
      <c r="G106" s="59" t="s">
        <v>82</v>
      </c>
      <c r="H106" s="59" t="n">
        <v>25.881</v>
      </c>
      <c r="I106" s="59" t="n">
        <v>26.045</v>
      </c>
      <c r="J106" s="59" t="n">
        <v>2.36</v>
      </c>
      <c r="K106" s="59"/>
      <c r="L106" s="59"/>
      <c r="M106" s="59"/>
      <c r="N106" s="61" t="b">
        <f aca="false">TRUE()</f>
        <v>1</v>
      </c>
      <c r="O106" s="59" t="n">
        <v>0.168</v>
      </c>
      <c r="P106" s="61" t="b">
        <f aca="false">TRUE()</f>
        <v>1</v>
      </c>
      <c r="Q106" s="59" t="n">
        <v>1</v>
      </c>
      <c r="R106" s="59" t="n">
        <v>40</v>
      </c>
      <c r="S106" s="59"/>
      <c r="T106" s="59"/>
      <c r="U106" s="59"/>
      <c r="V106" s="59" t="n">
        <v>79.442</v>
      </c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 t="s">
        <v>83</v>
      </c>
      <c r="AH106" s="59" t="s">
        <v>84</v>
      </c>
      <c r="AI106" s="59" t="s">
        <v>84</v>
      </c>
      <c r="AJ106" s="59"/>
    </row>
    <row r="107" customFormat="false" ht="15.75" hidden="false" customHeight="false" outlineLevel="0" collapsed="false">
      <c r="A107" s="59" t="n">
        <v>22</v>
      </c>
      <c r="B107" s="59" t="s">
        <v>102</v>
      </c>
      <c r="C107" s="61" t="b">
        <f aca="false">FALSE()</f>
        <v>0</v>
      </c>
      <c r="D107" s="59" t="s">
        <v>27</v>
      </c>
      <c r="E107" s="59" t="s">
        <v>37</v>
      </c>
      <c r="F107" s="59" t="s">
        <v>81</v>
      </c>
      <c r="G107" s="59" t="s">
        <v>82</v>
      </c>
      <c r="H107" s="59" t="n">
        <v>25.196</v>
      </c>
      <c r="I107" s="59" t="n">
        <v>26.045</v>
      </c>
      <c r="J107" s="59" t="n">
        <v>2.36</v>
      </c>
      <c r="K107" s="59"/>
      <c r="L107" s="59"/>
      <c r="M107" s="59"/>
      <c r="N107" s="61" t="b">
        <f aca="false">TRUE()</f>
        <v>1</v>
      </c>
      <c r="O107" s="59" t="n">
        <v>0.168</v>
      </c>
      <c r="P107" s="61" t="b">
        <f aca="false">TRUE()</f>
        <v>1</v>
      </c>
      <c r="Q107" s="59" t="n">
        <v>1</v>
      </c>
      <c r="R107" s="59" t="n">
        <v>40</v>
      </c>
      <c r="S107" s="59"/>
      <c r="T107" s="59"/>
      <c r="U107" s="59"/>
      <c r="V107" s="59" t="n">
        <v>79.539</v>
      </c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 t="s">
        <v>83</v>
      </c>
      <c r="AH107" s="59" t="s">
        <v>84</v>
      </c>
      <c r="AI107" s="59" t="s">
        <v>84</v>
      </c>
      <c r="AJ107" s="59"/>
    </row>
    <row r="108" customFormat="false" ht="15.75" hidden="false" customHeight="false" outlineLevel="0" collapsed="false">
      <c r="A108" s="59" t="n">
        <v>23</v>
      </c>
      <c r="B108" s="59" t="s">
        <v>103</v>
      </c>
      <c r="C108" s="61" t="b">
        <f aca="false">FALSE()</f>
        <v>0</v>
      </c>
      <c r="D108" s="59" t="s">
        <v>28</v>
      </c>
      <c r="E108" s="59" t="s">
        <v>37</v>
      </c>
      <c r="F108" s="59" t="s">
        <v>81</v>
      </c>
      <c r="G108" s="59" t="s">
        <v>82</v>
      </c>
      <c r="H108" s="59" t="n">
        <v>26.128</v>
      </c>
      <c r="I108" s="59" t="n">
        <v>26.045</v>
      </c>
      <c r="J108" s="59" t="n">
        <v>2.36</v>
      </c>
      <c r="K108" s="59"/>
      <c r="L108" s="59"/>
      <c r="M108" s="59"/>
      <c r="N108" s="61" t="b">
        <f aca="false">TRUE()</f>
        <v>1</v>
      </c>
      <c r="O108" s="59" t="n">
        <v>0.168</v>
      </c>
      <c r="P108" s="61" t="b">
        <f aca="false">TRUE()</f>
        <v>1</v>
      </c>
      <c r="Q108" s="59" t="n">
        <v>1</v>
      </c>
      <c r="R108" s="59" t="n">
        <v>40</v>
      </c>
      <c r="S108" s="59"/>
      <c r="T108" s="59"/>
      <c r="U108" s="59"/>
      <c r="V108" s="59" t="n">
        <v>79.442</v>
      </c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 t="s">
        <v>83</v>
      </c>
      <c r="AH108" s="59" t="s">
        <v>84</v>
      </c>
      <c r="AI108" s="59" t="s">
        <v>84</v>
      </c>
      <c r="AJ108" s="59"/>
    </row>
    <row r="109" customFormat="false" ht="15.75" hidden="false" customHeight="false" outlineLevel="0" collapsed="false">
      <c r="A109" s="59" t="n">
        <v>24</v>
      </c>
      <c r="B109" s="59" t="s">
        <v>104</v>
      </c>
      <c r="C109" s="61" t="b">
        <f aca="false">FALSE()</f>
        <v>0</v>
      </c>
      <c r="D109" s="59" t="s">
        <v>29</v>
      </c>
      <c r="E109" s="59" t="s">
        <v>37</v>
      </c>
      <c r="F109" s="59" t="s">
        <v>81</v>
      </c>
      <c r="G109" s="59" t="s">
        <v>82</v>
      </c>
      <c r="H109" s="59" t="n">
        <v>25.577</v>
      </c>
      <c r="I109" s="59" t="n">
        <v>26.045</v>
      </c>
      <c r="J109" s="59" t="n">
        <v>2.36</v>
      </c>
      <c r="K109" s="59"/>
      <c r="L109" s="59"/>
      <c r="M109" s="59"/>
      <c r="N109" s="61" t="b">
        <f aca="false">TRUE()</f>
        <v>1</v>
      </c>
      <c r="O109" s="59" t="n">
        <v>0.168</v>
      </c>
      <c r="P109" s="61" t="b">
        <f aca="false">TRUE()</f>
        <v>1</v>
      </c>
      <c r="Q109" s="59" t="n">
        <v>1</v>
      </c>
      <c r="R109" s="59" t="n">
        <v>40</v>
      </c>
      <c r="S109" s="59"/>
      <c r="T109" s="59"/>
      <c r="U109" s="59"/>
      <c r="V109" s="59" t="n">
        <v>79.442</v>
      </c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 t="s">
        <v>83</v>
      </c>
      <c r="AH109" s="59" t="s">
        <v>84</v>
      </c>
      <c r="AI109" s="59" t="s">
        <v>84</v>
      </c>
      <c r="AJ109" s="59"/>
    </row>
    <row r="110" customFormat="false" ht="15.75" hidden="false" customHeight="false" outlineLevel="0" collapsed="false">
      <c r="A110" s="59" t="n">
        <v>29</v>
      </c>
      <c r="B110" s="59" t="s">
        <v>105</v>
      </c>
      <c r="C110" s="61" t="b">
        <f aca="false">FALSE()</f>
        <v>0</v>
      </c>
      <c r="D110" s="59" t="s">
        <v>30</v>
      </c>
      <c r="E110" s="59" t="s">
        <v>37</v>
      </c>
      <c r="F110" s="59" t="s">
        <v>81</v>
      </c>
      <c r="G110" s="59" t="s">
        <v>82</v>
      </c>
      <c r="H110" s="59" t="n">
        <v>25.796</v>
      </c>
      <c r="I110" s="59" t="n">
        <v>26.045</v>
      </c>
      <c r="J110" s="59" t="n">
        <v>2.36</v>
      </c>
      <c r="K110" s="59"/>
      <c r="L110" s="59"/>
      <c r="M110" s="59"/>
      <c r="N110" s="61" t="b">
        <f aca="false">TRUE()</f>
        <v>1</v>
      </c>
      <c r="O110" s="59" t="n">
        <v>0.168</v>
      </c>
      <c r="P110" s="61" t="b">
        <f aca="false">TRUE()</f>
        <v>1</v>
      </c>
      <c r="Q110" s="59" t="n">
        <v>1</v>
      </c>
      <c r="R110" s="59" t="n">
        <v>40</v>
      </c>
      <c r="S110" s="59"/>
      <c r="T110" s="59"/>
      <c r="U110" s="59"/>
      <c r="V110" s="59" t="n">
        <v>79.539</v>
      </c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 t="s">
        <v>83</v>
      </c>
      <c r="AH110" s="59" t="s">
        <v>84</v>
      </c>
      <c r="AI110" s="59" t="s">
        <v>84</v>
      </c>
      <c r="AJ110" s="59"/>
    </row>
    <row r="111" customFormat="false" ht="15.75" hidden="false" customHeight="false" outlineLevel="0" collapsed="false">
      <c r="A111" s="59" t="n">
        <v>30</v>
      </c>
      <c r="B111" s="59" t="s">
        <v>106</v>
      </c>
      <c r="C111" s="61" t="b">
        <f aca="false">FALSE()</f>
        <v>0</v>
      </c>
      <c r="D111" s="59" t="s">
        <v>31</v>
      </c>
      <c r="E111" s="59" t="s">
        <v>37</v>
      </c>
      <c r="F111" s="59" t="s">
        <v>81</v>
      </c>
      <c r="G111" s="59" t="s">
        <v>82</v>
      </c>
      <c r="H111" s="59" t="n">
        <v>26.153</v>
      </c>
      <c r="I111" s="59" t="n">
        <v>26.045</v>
      </c>
      <c r="J111" s="59" t="n">
        <v>2.36</v>
      </c>
      <c r="K111" s="59"/>
      <c r="L111" s="59"/>
      <c r="M111" s="59"/>
      <c r="N111" s="61" t="b">
        <f aca="false">TRUE()</f>
        <v>1</v>
      </c>
      <c r="O111" s="59" t="n">
        <v>0.168</v>
      </c>
      <c r="P111" s="61" t="b">
        <f aca="false">TRUE()</f>
        <v>1</v>
      </c>
      <c r="Q111" s="59" t="n">
        <v>1</v>
      </c>
      <c r="R111" s="59" t="n">
        <v>40</v>
      </c>
      <c r="S111" s="59"/>
      <c r="T111" s="59"/>
      <c r="U111" s="59"/>
      <c r="V111" s="59" t="n">
        <v>79.539</v>
      </c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 t="s">
        <v>83</v>
      </c>
      <c r="AH111" s="59" t="s">
        <v>84</v>
      </c>
      <c r="AI111" s="59" t="s">
        <v>84</v>
      </c>
      <c r="AJ111" s="59"/>
    </row>
    <row r="112" customFormat="false" ht="15.75" hidden="false" customHeight="false" outlineLevel="0" collapsed="false">
      <c r="A112" s="59" t="n">
        <v>37</v>
      </c>
      <c r="B112" s="59" t="s">
        <v>107</v>
      </c>
      <c r="C112" s="61" t="b">
        <f aca="false">FALSE()</f>
        <v>0</v>
      </c>
      <c r="D112" s="59" t="n">
        <v>100</v>
      </c>
      <c r="E112" s="59" t="s">
        <v>38</v>
      </c>
      <c r="F112" s="59" t="s">
        <v>81</v>
      </c>
      <c r="G112" s="59" t="s">
        <v>82</v>
      </c>
      <c r="H112" s="59" t="n">
        <v>30.133</v>
      </c>
      <c r="I112" s="59" t="n">
        <v>26.045</v>
      </c>
      <c r="J112" s="59" t="n">
        <v>2.36</v>
      </c>
      <c r="K112" s="59"/>
      <c r="L112" s="59"/>
      <c r="M112" s="59"/>
      <c r="N112" s="61" t="b">
        <f aca="false">TRUE()</f>
        <v>1</v>
      </c>
      <c r="O112" s="59" t="n">
        <v>0.168</v>
      </c>
      <c r="P112" s="61" t="b">
        <f aca="false">TRUE()</f>
        <v>1</v>
      </c>
      <c r="Q112" s="59" t="n">
        <v>1</v>
      </c>
      <c r="R112" s="59" t="n">
        <v>40</v>
      </c>
      <c r="S112" s="59"/>
      <c r="T112" s="59"/>
      <c r="U112" s="59"/>
      <c r="V112" s="59" t="n">
        <v>86.556</v>
      </c>
      <c r="W112" s="59"/>
      <c r="X112" s="59" t="n">
        <v>74.18</v>
      </c>
      <c r="Y112" s="59"/>
      <c r="Z112" s="59"/>
      <c r="AA112" s="59"/>
      <c r="AB112" s="59"/>
      <c r="AC112" s="59"/>
      <c r="AD112" s="59"/>
      <c r="AE112" s="59"/>
      <c r="AF112" s="59"/>
      <c r="AG112" s="59" t="s">
        <v>83</v>
      </c>
      <c r="AH112" s="59" t="s">
        <v>84</v>
      </c>
      <c r="AI112" s="59" t="s">
        <v>83</v>
      </c>
      <c r="AJ112" s="59"/>
    </row>
    <row r="113" customFormat="false" ht="15.75" hidden="false" customHeight="false" outlineLevel="0" collapsed="false">
      <c r="A113" s="59" t="n">
        <v>38</v>
      </c>
      <c r="B113" s="59" t="s">
        <v>108</v>
      </c>
      <c r="C113" s="61" t="b">
        <f aca="false">FALSE()</f>
        <v>0</v>
      </c>
      <c r="D113" s="59" t="n">
        <v>10</v>
      </c>
      <c r="E113" s="59" t="s">
        <v>38</v>
      </c>
      <c r="F113" s="59" t="s">
        <v>81</v>
      </c>
      <c r="G113" s="59" t="s">
        <v>82</v>
      </c>
      <c r="H113" s="59" t="n">
        <v>25.832</v>
      </c>
      <c r="I113" s="59" t="n">
        <v>26.045</v>
      </c>
      <c r="J113" s="59" t="n">
        <v>2.36</v>
      </c>
      <c r="K113" s="59"/>
      <c r="L113" s="59"/>
      <c r="M113" s="59"/>
      <c r="N113" s="61" t="b">
        <f aca="false">TRUE()</f>
        <v>1</v>
      </c>
      <c r="O113" s="59" t="n">
        <v>0.168</v>
      </c>
      <c r="P113" s="61" t="b">
        <f aca="false">TRUE()</f>
        <v>1</v>
      </c>
      <c r="Q113" s="59" t="n">
        <v>1</v>
      </c>
      <c r="R113" s="59" t="n">
        <v>40</v>
      </c>
      <c r="S113" s="59"/>
      <c r="T113" s="59"/>
      <c r="U113" s="59"/>
      <c r="V113" s="59" t="n">
        <v>86.166</v>
      </c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 t="s">
        <v>83</v>
      </c>
      <c r="AH113" s="59" t="s">
        <v>84</v>
      </c>
      <c r="AI113" s="59" t="s">
        <v>84</v>
      </c>
      <c r="AJ113" s="59"/>
    </row>
    <row r="114" customFormat="false" ht="15.75" hidden="false" customHeight="false" outlineLevel="0" collapsed="false">
      <c r="A114" s="59" t="n">
        <v>39</v>
      </c>
      <c r="B114" s="59" t="s">
        <v>109</v>
      </c>
      <c r="C114" s="61" t="b">
        <f aca="false">FALSE()</f>
        <v>0</v>
      </c>
      <c r="D114" s="59" t="n">
        <v>1</v>
      </c>
      <c r="E114" s="59" t="s">
        <v>38</v>
      </c>
      <c r="F114" s="59" t="s">
        <v>81</v>
      </c>
      <c r="G114" s="59" t="s">
        <v>82</v>
      </c>
      <c r="H114" s="59" t="n">
        <v>29.306</v>
      </c>
      <c r="I114" s="59" t="n">
        <v>26.045</v>
      </c>
      <c r="J114" s="59" t="n">
        <v>2.36</v>
      </c>
      <c r="K114" s="59"/>
      <c r="L114" s="59"/>
      <c r="M114" s="59"/>
      <c r="N114" s="61" t="b">
        <f aca="false">TRUE()</f>
        <v>1</v>
      </c>
      <c r="O114" s="59" t="n">
        <v>0.168</v>
      </c>
      <c r="P114" s="61" t="b">
        <f aca="false">TRUE()</f>
        <v>1</v>
      </c>
      <c r="Q114" s="59" t="n">
        <v>1</v>
      </c>
      <c r="R114" s="59" t="n">
        <v>40</v>
      </c>
      <c r="S114" s="59"/>
      <c r="T114" s="59"/>
      <c r="U114" s="59"/>
      <c r="V114" s="59" t="n">
        <v>86.068</v>
      </c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 t="s">
        <v>83</v>
      </c>
      <c r="AH114" s="59" t="s">
        <v>84</v>
      </c>
      <c r="AI114" s="59" t="s">
        <v>84</v>
      </c>
      <c r="AJ114" s="59"/>
    </row>
    <row r="115" customFormat="false" ht="15.75" hidden="false" customHeight="false" outlineLevel="0" collapsed="false">
      <c r="A115" s="59" t="n">
        <v>40</v>
      </c>
      <c r="B115" s="59" t="s">
        <v>110</v>
      </c>
      <c r="C115" s="61" t="b">
        <f aca="false">FALSE()</f>
        <v>0</v>
      </c>
      <c r="D115" s="59" t="n">
        <v>0.1</v>
      </c>
      <c r="E115" s="59" t="s">
        <v>38</v>
      </c>
      <c r="F115" s="59" t="s">
        <v>81</v>
      </c>
      <c r="G115" s="59" t="s">
        <v>82</v>
      </c>
      <c r="H115" s="59" t="n">
        <v>32.268</v>
      </c>
      <c r="I115" s="59" t="n">
        <v>26.045</v>
      </c>
      <c r="J115" s="59" t="n">
        <v>2.36</v>
      </c>
      <c r="K115" s="59"/>
      <c r="L115" s="59"/>
      <c r="M115" s="59"/>
      <c r="N115" s="61" t="b">
        <f aca="false">TRUE()</f>
        <v>1</v>
      </c>
      <c r="O115" s="59" t="n">
        <v>0.168</v>
      </c>
      <c r="P115" s="61" t="b">
        <f aca="false">TRUE()</f>
        <v>1</v>
      </c>
      <c r="Q115" s="59" t="n">
        <v>1</v>
      </c>
      <c r="R115" s="59" t="n">
        <v>40</v>
      </c>
      <c r="S115" s="59"/>
      <c r="T115" s="59"/>
      <c r="U115" s="59"/>
      <c r="V115" s="59" t="n">
        <v>86.068</v>
      </c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 t="s">
        <v>83</v>
      </c>
      <c r="AH115" s="59" t="s">
        <v>84</v>
      </c>
      <c r="AI115" s="59" t="s">
        <v>84</v>
      </c>
      <c r="AJ115" s="59"/>
    </row>
    <row r="116" customFormat="false" ht="15.75" hidden="false" customHeight="false" outlineLevel="0" collapsed="false">
      <c r="A116" s="59" t="n">
        <v>41</v>
      </c>
      <c r="B116" s="59" t="s">
        <v>111</v>
      </c>
      <c r="C116" s="61" t="b">
        <f aca="false">FALSE()</f>
        <v>0</v>
      </c>
      <c r="D116" s="59" t="s">
        <v>3</v>
      </c>
      <c r="E116" s="59" t="s">
        <v>38</v>
      </c>
      <c r="F116" s="59" t="s">
        <v>81</v>
      </c>
      <c r="G116" s="59" t="s">
        <v>82</v>
      </c>
      <c r="H116" s="59" t="n">
        <v>23.562</v>
      </c>
      <c r="I116" s="59" t="n">
        <v>26.045</v>
      </c>
      <c r="J116" s="59" t="n">
        <v>2.36</v>
      </c>
      <c r="K116" s="59"/>
      <c r="L116" s="59"/>
      <c r="M116" s="59"/>
      <c r="N116" s="61" t="b">
        <f aca="false">TRUE()</f>
        <v>1</v>
      </c>
      <c r="O116" s="59" t="n">
        <v>0.168</v>
      </c>
      <c r="P116" s="61" t="b">
        <f aca="false">TRUE()</f>
        <v>1</v>
      </c>
      <c r="Q116" s="59" t="n">
        <v>1</v>
      </c>
      <c r="R116" s="59" t="n">
        <v>40</v>
      </c>
      <c r="S116" s="59"/>
      <c r="T116" s="59"/>
      <c r="U116" s="59"/>
      <c r="V116" s="59" t="n">
        <v>86.263</v>
      </c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 t="s">
        <v>83</v>
      </c>
      <c r="AH116" s="59" t="s">
        <v>84</v>
      </c>
      <c r="AI116" s="59" t="s">
        <v>84</v>
      </c>
      <c r="AJ116" s="59"/>
    </row>
    <row r="117" customFormat="false" ht="15.75" hidden="false" customHeight="false" outlineLevel="0" collapsed="false">
      <c r="A117" s="59" t="n">
        <v>42</v>
      </c>
      <c r="B117" s="59" t="s">
        <v>112</v>
      </c>
      <c r="C117" s="61" t="b">
        <f aca="false">FALSE()</f>
        <v>0</v>
      </c>
      <c r="D117" s="59" t="s">
        <v>4</v>
      </c>
      <c r="E117" s="59" t="s">
        <v>38</v>
      </c>
      <c r="F117" s="59" t="s">
        <v>81</v>
      </c>
      <c r="G117" s="59" t="s">
        <v>82</v>
      </c>
      <c r="H117" s="59" t="n">
        <v>24.223</v>
      </c>
      <c r="I117" s="59" t="n">
        <v>26.045</v>
      </c>
      <c r="J117" s="59" t="n">
        <v>2.36</v>
      </c>
      <c r="K117" s="59"/>
      <c r="L117" s="59"/>
      <c r="M117" s="59"/>
      <c r="N117" s="61" t="b">
        <f aca="false">TRUE()</f>
        <v>1</v>
      </c>
      <c r="O117" s="59" t="n">
        <v>0.168</v>
      </c>
      <c r="P117" s="61" t="b">
        <f aca="false">TRUE()</f>
        <v>1</v>
      </c>
      <c r="Q117" s="59" t="n">
        <v>1</v>
      </c>
      <c r="R117" s="59" t="n">
        <v>40</v>
      </c>
      <c r="S117" s="59"/>
      <c r="T117" s="59"/>
      <c r="U117" s="59"/>
      <c r="V117" s="59" t="n">
        <v>86.263</v>
      </c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 t="s">
        <v>83</v>
      </c>
      <c r="AH117" s="59" t="s">
        <v>84</v>
      </c>
      <c r="AI117" s="59" t="s">
        <v>84</v>
      </c>
      <c r="AJ117" s="59"/>
    </row>
    <row r="118" customFormat="false" ht="15.75" hidden="false" customHeight="false" outlineLevel="0" collapsed="false">
      <c r="A118" s="59" t="n">
        <v>43</v>
      </c>
      <c r="B118" s="59" t="s">
        <v>113</v>
      </c>
      <c r="C118" s="61" t="b">
        <f aca="false">FALSE()</f>
        <v>0</v>
      </c>
      <c r="D118" s="59" t="s">
        <v>5</v>
      </c>
      <c r="E118" s="59" t="s">
        <v>38</v>
      </c>
      <c r="F118" s="59" t="s">
        <v>81</v>
      </c>
      <c r="G118" s="59" t="s">
        <v>82</v>
      </c>
      <c r="H118" s="59" t="n">
        <v>23.437</v>
      </c>
      <c r="I118" s="59" t="n">
        <v>26.045</v>
      </c>
      <c r="J118" s="59" t="n">
        <v>2.36</v>
      </c>
      <c r="K118" s="59"/>
      <c r="L118" s="59"/>
      <c r="M118" s="59"/>
      <c r="N118" s="61" t="b">
        <f aca="false">TRUE()</f>
        <v>1</v>
      </c>
      <c r="O118" s="59" t="n">
        <v>0.168</v>
      </c>
      <c r="P118" s="61" t="b">
        <f aca="false">TRUE()</f>
        <v>1</v>
      </c>
      <c r="Q118" s="59" t="n">
        <v>1</v>
      </c>
      <c r="R118" s="59" t="n">
        <v>40</v>
      </c>
      <c r="S118" s="59"/>
      <c r="T118" s="59"/>
      <c r="U118" s="59"/>
      <c r="V118" s="59" t="n">
        <v>86.263</v>
      </c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 t="s">
        <v>83</v>
      </c>
      <c r="AH118" s="59" t="s">
        <v>84</v>
      </c>
      <c r="AI118" s="59" t="s">
        <v>84</v>
      </c>
      <c r="AJ118" s="59"/>
    </row>
    <row r="119" customFormat="false" ht="15.75" hidden="false" customHeight="false" outlineLevel="0" collapsed="false">
      <c r="A119" s="59" t="n">
        <v>44</v>
      </c>
      <c r="B119" s="59" t="s">
        <v>114</v>
      </c>
      <c r="C119" s="61" t="b">
        <f aca="false">FALSE()</f>
        <v>0</v>
      </c>
      <c r="D119" s="59" t="s">
        <v>6</v>
      </c>
      <c r="E119" s="59" t="s">
        <v>38</v>
      </c>
      <c r="F119" s="59" t="s">
        <v>81</v>
      </c>
      <c r="G119" s="59" t="s">
        <v>82</v>
      </c>
      <c r="H119" s="59" t="n">
        <v>24.343</v>
      </c>
      <c r="I119" s="59" t="n">
        <v>26.045</v>
      </c>
      <c r="J119" s="59" t="n">
        <v>2.36</v>
      </c>
      <c r="K119" s="59"/>
      <c r="L119" s="59"/>
      <c r="M119" s="59"/>
      <c r="N119" s="61" t="b">
        <f aca="false">TRUE()</f>
        <v>1</v>
      </c>
      <c r="O119" s="59" t="n">
        <v>0.168</v>
      </c>
      <c r="P119" s="61" t="b">
        <f aca="false">TRUE()</f>
        <v>1</v>
      </c>
      <c r="Q119" s="59" t="n">
        <v>1</v>
      </c>
      <c r="R119" s="59" t="n">
        <v>40</v>
      </c>
      <c r="S119" s="59"/>
      <c r="T119" s="59"/>
      <c r="U119" s="59"/>
      <c r="V119" s="59" t="n">
        <v>86.263</v>
      </c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 t="s">
        <v>83</v>
      </c>
      <c r="AH119" s="59" t="s">
        <v>84</v>
      </c>
      <c r="AI119" s="59" t="s">
        <v>84</v>
      </c>
      <c r="AJ119" s="59"/>
    </row>
    <row r="120" customFormat="false" ht="15.75" hidden="false" customHeight="false" outlineLevel="0" collapsed="false">
      <c r="A120" s="59" t="n">
        <v>45</v>
      </c>
      <c r="B120" s="59" t="s">
        <v>115</v>
      </c>
      <c r="C120" s="61" t="b">
        <f aca="false">FALSE()</f>
        <v>0</v>
      </c>
      <c r="D120" s="59" t="s">
        <v>7</v>
      </c>
      <c r="E120" s="59" t="s">
        <v>38</v>
      </c>
      <c r="F120" s="59" t="s">
        <v>81</v>
      </c>
      <c r="G120" s="59" t="s">
        <v>82</v>
      </c>
      <c r="H120" s="59" t="n">
        <v>26.401</v>
      </c>
      <c r="I120" s="59" t="n">
        <v>26.045</v>
      </c>
      <c r="J120" s="59" t="n">
        <v>2.36</v>
      </c>
      <c r="K120" s="59"/>
      <c r="L120" s="59"/>
      <c r="M120" s="59"/>
      <c r="N120" s="61" t="b">
        <f aca="false">TRUE()</f>
        <v>1</v>
      </c>
      <c r="O120" s="59" t="n">
        <v>0.168</v>
      </c>
      <c r="P120" s="61" t="b">
        <f aca="false">TRUE()</f>
        <v>1</v>
      </c>
      <c r="Q120" s="59" t="n">
        <v>1</v>
      </c>
      <c r="R120" s="59" t="n">
        <v>40</v>
      </c>
      <c r="S120" s="59"/>
      <c r="T120" s="59"/>
      <c r="U120" s="59"/>
      <c r="V120" s="59" t="n">
        <v>86.166</v>
      </c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 t="s">
        <v>83</v>
      </c>
      <c r="AH120" s="59" t="s">
        <v>84</v>
      </c>
      <c r="AI120" s="59" t="s">
        <v>84</v>
      </c>
      <c r="AJ120" s="59"/>
    </row>
    <row r="121" customFormat="false" ht="15.75" hidden="false" customHeight="false" outlineLevel="0" collapsed="false">
      <c r="A121" s="59" t="n">
        <v>46</v>
      </c>
      <c r="B121" s="59" t="s">
        <v>116</v>
      </c>
      <c r="C121" s="61" t="b">
        <f aca="false">FALSE()</f>
        <v>0</v>
      </c>
      <c r="D121" s="59" t="s">
        <v>8</v>
      </c>
      <c r="E121" s="59" t="s">
        <v>38</v>
      </c>
      <c r="F121" s="59" t="s">
        <v>81</v>
      </c>
      <c r="G121" s="59" t="s">
        <v>82</v>
      </c>
      <c r="H121" s="59" t="n">
        <v>23.878</v>
      </c>
      <c r="I121" s="59" t="n">
        <v>26.045</v>
      </c>
      <c r="J121" s="59" t="n">
        <v>2.36</v>
      </c>
      <c r="K121" s="59"/>
      <c r="L121" s="59"/>
      <c r="M121" s="59"/>
      <c r="N121" s="61" t="b">
        <f aca="false">TRUE()</f>
        <v>1</v>
      </c>
      <c r="O121" s="59" t="n">
        <v>0.168</v>
      </c>
      <c r="P121" s="61" t="b">
        <f aca="false">TRUE()</f>
        <v>1</v>
      </c>
      <c r="Q121" s="59" t="n">
        <v>1</v>
      </c>
      <c r="R121" s="59" t="n">
        <v>40</v>
      </c>
      <c r="S121" s="59"/>
      <c r="T121" s="59"/>
      <c r="U121" s="59"/>
      <c r="V121" s="59" t="n">
        <v>86.166</v>
      </c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 t="s">
        <v>83</v>
      </c>
      <c r="AH121" s="59" t="s">
        <v>84</v>
      </c>
      <c r="AI121" s="59" t="s">
        <v>84</v>
      </c>
      <c r="AJ121" s="59"/>
    </row>
    <row r="122" customFormat="false" ht="15.75" hidden="false" customHeight="false" outlineLevel="0" collapsed="false">
      <c r="A122" s="59" t="n">
        <v>47</v>
      </c>
      <c r="B122" s="59" t="s">
        <v>117</v>
      </c>
      <c r="C122" s="61" t="b">
        <f aca="false">FALSE()</f>
        <v>0</v>
      </c>
      <c r="D122" s="59" t="s">
        <v>9</v>
      </c>
      <c r="E122" s="59" t="s">
        <v>38</v>
      </c>
      <c r="F122" s="59" t="s">
        <v>81</v>
      </c>
      <c r="G122" s="59" t="s">
        <v>82</v>
      </c>
      <c r="H122" s="59" t="n">
        <v>23.482</v>
      </c>
      <c r="I122" s="59" t="n">
        <v>26.045</v>
      </c>
      <c r="J122" s="59" t="n">
        <v>2.36</v>
      </c>
      <c r="K122" s="59"/>
      <c r="L122" s="59"/>
      <c r="M122" s="59"/>
      <c r="N122" s="61" t="b">
        <f aca="false">TRUE()</f>
        <v>1</v>
      </c>
      <c r="O122" s="59" t="n">
        <v>0.168</v>
      </c>
      <c r="P122" s="61" t="b">
        <f aca="false">TRUE()</f>
        <v>1</v>
      </c>
      <c r="Q122" s="59" t="n">
        <v>1</v>
      </c>
      <c r="R122" s="59" t="n">
        <v>40</v>
      </c>
      <c r="S122" s="59"/>
      <c r="T122" s="59"/>
      <c r="U122" s="59"/>
      <c r="V122" s="59" t="n">
        <v>86.166</v>
      </c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 t="s">
        <v>83</v>
      </c>
      <c r="AH122" s="59" t="s">
        <v>84</v>
      </c>
      <c r="AI122" s="59" t="s">
        <v>84</v>
      </c>
      <c r="AJ122" s="59"/>
    </row>
    <row r="123" customFormat="false" ht="15.75" hidden="false" customHeight="false" outlineLevel="0" collapsed="false">
      <c r="A123" s="59" t="n">
        <v>48</v>
      </c>
      <c r="B123" s="59" t="s">
        <v>118</v>
      </c>
      <c r="C123" s="61" t="b">
        <f aca="false">FALSE()</f>
        <v>0</v>
      </c>
      <c r="D123" s="59" t="s">
        <v>10</v>
      </c>
      <c r="E123" s="59" t="s">
        <v>38</v>
      </c>
      <c r="F123" s="59" t="s">
        <v>81</v>
      </c>
      <c r="G123" s="59" t="s">
        <v>82</v>
      </c>
      <c r="H123" s="59" t="n">
        <v>24.78</v>
      </c>
      <c r="I123" s="59" t="n">
        <v>26.045</v>
      </c>
      <c r="J123" s="59" t="n">
        <v>2.36</v>
      </c>
      <c r="K123" s="59"/>
      <c r="L123" s="59"/>
      <c r="M123" s="59"/>
      <c r="N123" s="61" t="b">
        <f aca="false">TRUE()</f>
        <v>1</v>
      </c>
      <c r="O123" s="59" t="n">
        <v>0.168</v>
      </c>
      <c r="P123" s="61" t="b">
        <f aca="false">TRUE()</f>
        <v>1</v>
      </c>
      <c r="Q123" s="59" t="n">
        <v>1</v>
      </c>
      <c r="R123" s="59" t="n">
        <v>40</v>
      </c>
      <c r="S123" s="59"/>
      <c r="T123" s="59"/>
      <c r="U123" s="59"/>
      <c r="V123" s="59" t="n">
        <v>86.166</v>
      </c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 t="s">
        <v>83</v>
      </c>
      <c r="AH123" s="59" t="s">
        <v>84</v>
      </c>
      <c r="AI123" s="59" t="s">
        <v>84</v>
      </c>
      <c r="AJ123" s="59"/>
    </row>
    <row r="124" customFormat="false" ht="15.75" hidden="false" customHeight="false" outlineLevel="0" collapsed="false">
      <c r="A124" s="59" t="n">
        <v>53</v>
      </c>
      <c r="B124" s="59" t="s">
        <v>119</v>
      </c>
      <c r="C124" s="61" t="b">
        <f aca="false">FALSE()</f>
        <v>0</v>
      </c>
      <c r="D124" s="59" t="s">
        <v>11</v>
      </c>
      <c r="E124" s="59" t="s">
        <v>38</v>
      </c>
      <c r="F124" s="59" t="s">
        <v>81</v>
      </c>
      <c r="G124" s="59" t="s">
        <v>82</v>
      </c>
      <c r="H124" s="59" t="n">
        <v>23.611</v>
      </c>
      <c r="I124" s="59" t="n">
        <v>26.045</v>
      </c>
      <c r="J124" s="59" t="n">
        <v>2.36</v>
      </c>
      <c r="K124" s="59"/>
      <c r="L124" s="59"/>
      <c r="M124" s="59"/>
      <c r="N124" s="61" t="b">
        <f aca="false">TRUE()</f>
        <v>1</v>
      </c>
      <c r="O124" s="59" t="n">
        <v>0.168</v>
      </c>
      <c r="P124" s="61" t="b">
        <f aca="false">TRUE()</f>
        <v>1</v>
      </c>
      <c r="Q124" s="59" t="n">
        <v>1</v>
      </c>
      <c r="R124" s="59" t="n">
        <v>40</v>
      </c>
      <c r="S124" s="59"/>
      <c r="T124" s="59"/>
      <c r="U124" s="59"/>
      <c r="V124" s="59" t="n">
        <v>86.166</v>
      </c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 t="s">
        <v>83</v>
      </c>
      <c r="AH124" s="59" t="s">
        <v>84</v>
      </c>
      <c r="AI124" s="59" t="s">
        <v>84</v>
      </c>
      <c r="AJ124" s="59"/>
    </row>
    <row r="125" customFormat="false" ht="15.75" hidden="false" customHeight="false" outlineLevel="0" collapsed="false">
      <c r="A125" s="59" t="n">
        <v>54</v>
      </c>
      <c r="B125" s="59" t="s">
        <v>120</v>
      </c>
      <c r="C125" s="61" t="b">
        <f aca="false">FALSE()</f>
        <v>0</v>
      </c>
      <c r="D125" s="59" t="s">
        <v>23</v>
      </c>
      <c r="E125" s="59" t="s">
        <v>38</v>
      </c>
      <c r="F125" s="59" t="s">
        <v>81</v>
      </c>
      <c r="G125" s="59" t="s">
        <v>82</v>
      </c>
      <c r="H125" s="59" t="n">
        <v>24.262</v>
      </c>
      <c r="I125" s="59" t="n">
        <v>26.045</v>
      </c>
      <c r="J125" s="59" t="n">
        <v>2.36</v>
      </c>
      <c r="K125" s="59"/>
      <c r="L125" s="59"/>
      <c r="M125" s="59"/>
      <c r="N125" s="61" t="b">
        <f aca="false">TRUE()</f>
        <v>1</v>
      </c>
      <c r="O125" s="59" t="n">
        <v>0.168</v>
      </c>
      <c r="P125" s="61" t="b">
        <f aca="false">TRUE()</f>
        <v>1</v>
      </c>
      <c r="Q125" s="59" t="n">
        <v>1</v>
      </c>
      <c r="R125" s="59" t="n">
        <v>40</v>
      </c>
      <c r="S125" s="59"/>
      <c r="T125" s="59"/>
      <c r="U125" s="59"/>
      <c r="V125" s="59" t="n">
        <v>86.263</v>
      </c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 t="s">
        <v>83</v>
      </c>
      <c r="AH125" s="59" t="s">
        <v>84</v>
      </c>
      <c r="AI125" s="59" t="s">
        <v>84</v>
      </c>
      <c r="AJ125" s="59"/>
    </row>
    <row r="126" customFormat="false" ht="15.75" hidden="false" customHeight="false" outlineLevel="0" collapsed="false">
      <c r="A126" s="59" t="n">
        <v>55</v>
      </c>
      <c r="B126" s="59" t="s">
        <v>121</v>
      </c>
      <c r="C126" s="61" t="b">
        <f aca="false">FALSE()</f>
        <v>0</v>
      </c>
      <c r="D126" s="59" t="s">
        <v>24</v>
      </c>
      <c r="E126" s="59" t="s">
        <v>38</v>
      </c>
      <c r="F126" s="59" t="s">
        <v>81</v>
      </c>
      <c r="G126" s="59" t="s">
        <v>82</v>
      </c>
      <c r="H126" s="59" t="n">
        <v>25.228</v>
      </c>
      <c r="I126" s="59" t="n">
        <v>26.045</v>
      </c>
      <c r="J126" s="59" t="n">
        <v>2.36</v>
      </c>
      <c r="K126" s="59"/>
      <c r="L126" s="59"/>
      <c r="M126" s="59"/>
      <c r="N126" s="61" t="b">
        <f aca="false">TRUE()</f>
        <v>1</v>
      </c>
      <c r="O126" s="59" t="n">
        <v>0.168</v>
      </c>
      <c r="P126" s="61" t="b">
        <f aca="false">TRUE()</f>
        <v>1</v>
      </c>
      <c r="Q126" s="59" t="n">
        <v>1</v>
      </c>
      <c r="R126" s="59" t="n">
        <v>40</v>
      </c>
      <c r="S126" s="59"/>
      <c r="T126" s="59"/>
      <c r="U126" s="59"/>
      <c r="V126" s="59" t="n">
        <v>86.263</v>
      </c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 t="s">
        <v>83</v>
      </c>
      <c r="AH126" s="59" t="s">
        <v>84</v>
      </c>
      <c r="AI126" s="59" t="s">
        <v>84</v>
      </c>
      <c r="AJ126" s="59"/>
    </row>
    <row r="127" customFormat="false" ht="15.75" hidden="false" customHeight="false" outlineLevel="0" collapsed="false">
      <c r="A127" s="59" t="n">
        <v>56</v>
      </c>
      <c r="B127" s="59" t="s">
        <v>122</v>
      </c>
      <c r="C127" s="61" t="b">
        <f aca="false">FALSE()</f>
        <v>0</v>
      </c>
      <c r="D127" s="59" t="s">
        <v>25</v>
      </c>
      <c r="E127" s="59" t="s">
        <v>38</v>
      </c>
      <c r="F127" s="59" t="s">
        <v>81</v>
      </c>
      <c r="G127" s="59" t="s">
        <v>82</v>
      </c>
      <c r="H127" s="59" t="n">
        <v>24.565</v>
      </c>
      <c r="I127" s="59" t="n">
        <v>26.045</v>
      </c>
      <c r="J127" s="59" t="n">
        <v>2.36</v>
      </c>
      <c r="K127" s="59"/>
      <c r="L127" s="59"/>
      <c r="M127" s="59"/>
      <c r="N127" s="61" t="b">
        <f aca="false">TRUE()</f>
        <v>1</v>
      </c>
      <c r="O127" s="59" t="n">
        <v>0.168</v>
      </c>
      <c r="P127" s="61" t="b">
        <f aca="false">TRUE()</f>
        <v>1</v>
      </c>
      <c r="Q127" s="59" t="n">
        <v>1</v>
      </c>
      <c r="R127" s="59" t="n">
        <v>40</v>
      </c>
      <c r="S127" s="59"/>
      <c r="T127" s="59"/>
      <c r="U127" s="59"/>
      <c r="V127" s="59" t="n">
        <v>86.166</v>
      </c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 t="s">
        <v>83</v>
      </c>
      <c r="AH127" s="59" t="s">
        <v>84</v>
      </c>
      <c r="AI127" s="59" t="s">
        <v>84</v>
      </c>
      <c r="AJ127" s="59"/>
    </row>
    <row r="128" customFormat="false" ht="15.75" hidden="false" customHeight="false" outlineLevel="0" collapsed="false">
      <c r="A128" s="59" t="n">
        <v>57</v>
      </c>
      <c r="B128" s="59" t="s">
        <v>123</v>
      </c>
      <c r="C128" s="61" t="b">
        <f aca="false">FALSE()</f>
        <v>0</v>
      </c>
      <c r="D128" s="59" t="s">
        <v>26</v>
      </c>
      <c r="E128" s="59" t="s">
        <v>38</v>
      </c>
      <c r="F128" s="59" t="s">
        <v>81</v>
      </c>
      <c r="G128" s="59" t="s">
        <v>82</v>
      </c>
      <c r="H128" s="59" t="n">
        <v>24.47</v>
      </c>
      <c r="I128" s="59" t="n">
        <v>26.045</v>
      </c>
      <c r="J128" s="59" t="n">
        <v>2.36</v>
      </c>
      <c r="K128" s="59"/>
      <c r="L128" s="59"/>
      <c r="M128" s="59"/>
      <c r="N128" s="61" t="b">
        <f aca="false">TRUE()</f>
        <v>1</v>
      </c>
      <c r="O128" s="59" t="n">
        <v>0.168</v>
      </c>
      <c r="P128" s="61" t="b">
        <f aca="false">TRUE()</f>
        <v>1</v>
      </c>
      <c r="Q128" s="59" t="n">
        <v>1</v>
      </c>
      <c r="R128" s="59" t="n">
        <v>40</v>
      </c>
      <c r="S128" s="59"/>
      <c r="T128" s="59"/>
      <c r="U128" s="59"/>
      <c r="V128" s="59" t="n">
        <v>86.166</v>
      </c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 t="s">
        <v>83</v>
      </c>
      <c r="AH128" s="59" t="s">
        <v>84</v>
      </c>
      <c r="AI128" s="59" t="s">
        <v>84</v>
      </c>
      <c r="AJ128" s="59"/>
    </row>
    <row r="129" customFormat="false" ht="15.75" hidden="false" customHeight="false" outlineLevel="0" collapsed="false">
      <c r="A129" s="59" t="n">
        <v>58</v>
      </c>
      <c r="B129" s="59" t="s">
        <v>124</v>
      </c>
      <c r="C129" s="61" t="b">
        <f aca="false">FALSE()</f>
        <v>0</v>
      </c>
      <c r="D129" s="59" t="s">
        <v>27</v>
      </c>
      <c r="E129" s="59" t="s">
        <v>38</v>
      </c>
      <c r="F129" s="59" t="s">
        <v>81</v>
      </c>
      <c r="G129" s="59" t="s">
        <v>82</v>
      </c>
      <c r="H129" s="59" t="n">
        <v>24.17</v>
      </c>
      <c r="I129" s="59" t="n">
        <v>26.045</v>
      </c>
      <c r="J129" s="59" t="n">
        <v>2.36</v>
      </c>
      <c r="K129" s="59"/>
      <c r="L129" s="59"/>
      <c r="M129" s="59"/>
      <c r="N129" s="61" t="b">
        <f aca="false">TRUE()</f>
        <v>1</v>
      </c>
      <c r="O129" s="59" t="n">
        <v>0.168</v>
      </c>
      <c r="P129" s="61" t="b">
        <f aca="false">TRUE()</f>
        <v>1</v>
      </c>
      <c r="Q129" s="59" t="n">
        <v>1</v>
      </c>
      <c r="R129" s="59" t="n">
        <v>40</v>
      </c>
      <c r="S129" s="59"/>
      <c r="T129" s="59"/>
      <c r="U129" s="59"/>
      <c r="V129" s="59" t="n">
        <v>86.263</v>
      </c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 t="s">
        <v>83</v>
      </c>
      <c r="AH129" s="59" t="s">
        <v>84</v>
      </c>
      <c r="AI129" s="59" t="s">
        <v>84</v>
      </c>
      <c r="AJ129" s="59"/>
    </row>
    <row r="130" customFormat="false" ht="15.75" hidden="false" customHeight="false" outlineLevel="0" collapsed="false">
      <c r="A130" s="59" t="n">
        <v>59</v>
      </c>
      <c r="B130" s="59" t="s">
        <v>125</v>
      </c>
      <c r="C130" s="61" t="b">
        <f aca="false">FALSE()</f>
        <v>0</v>
      </c>
      <c r="D130" s="59" t="s">
        <v>28</v>
      </c>
      <c r="E130" s="59" t="s">
        <v>38</v>
      </c>
      <c r="F130" s="59" t="s">
        <v>81</v>
      </c>
      <c r="G130" s="59" t="s">
        <v>82</v>
      </c>
      <c r="H130" s="59" t="n">
        <v>24.802</v>
      </c>
      <c r="I130" s="59" t="n">
        <v>26.045</v>
      </c>
      <c r="J130" s="59" t="n">
        <v>2.36</v>
      </c>
      <c r="K130" s="59"/>
      <c r="L130" s="59"/>
      <c r="M130" s="59"/>
      <c r="N130" s="61" t="b">
        <f aca="false">TRUE()</f>
        <v>1</v>
      </c>
      <c r="O130" s="59" t="n">
        <v>0.168</v>
      </c>
      <c r="P130" s="61" t="b">
        <f aca="false">TRUE()</f>
        <v>1</v>
      </c>
      <c r="Q130" s="59" t="n">
        <v>1</v>
      </c>
      <c r="R130" s="59" t="n">
        <v>40</v>
      </c>
      <c r="S130" s="59"/>
      <c r="T130" s="59"/>
      <c r="U130" s="59"/>
      <c r="V130" s="59" t="n">
        <v>86.166</v>
      </c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 t="s">
        <v>83</v>
      </c>
      <c r="AH130" s="59" t="s">
        <v>84</v>
      </c>
      <c r="AI130" s="59" t="s">
        <v>84</v>
      </c>
      <c r="AJ130" s="59"/>
    </row>
    <row r="131" customFormat="false" ht="15.75" hidden="false" customHeight="false" outlineLevel="0" collapsed="false">
      <c r="A131" s="59" t="n">
        <v>60</v>
      </c>
      <c r="B131" s="59" t="s">
        <v>126</v>
      </c>
      <c r="C131" s="61" t="b">
        <f aca="false">FALSE()</f>
        <v>0</v>
      </c>
      <c r="D131" s="59" t="s">
        <v>29</v>
      </c>
      <c r="E131" s="59" t="s">
        <v>38</v>
      </c>
      <c r="F131" s="59" t="s">
        <v>81</v>
      </c>
      <c r="G131" s="59" t="s">
        <v>82</v>
      </c>
      <c r="H131" s="59" t="n">
        <v>23.936</v>
      </c>
      <c r="I131" s="59" t="n">
        <v>26.045</v>
      </c>
      <c r="J131" s="59" t="n">
        <v>2.36</v>
      </c>
      <c r="K131" s="59"/>
      <c r="L131" s="59"/>
      <c r="M131" s="59"/>
      <c r="N131" s="61" t="b">
        <f aca="false">TRUE()</f>
        <v>1</v>
      </c>
      <c r="O131" s="59" t="n">
        <v>0.168</v>
      </c>
      <c r="P131" s="61" t="b">
        <f aca="false">TRUE()</f>
        <v>1</v>
      </c>
      <c r="Q131" s="59" t="n">
        <v>1</v>
      </c>
      <c r="R131" s="59" t="n">
        <v>40</v>
      </c>
      <c r="S131" s="59"/>
      <c r="T131" s="59"/>
      <c r="U131" s="59"/>
      <c r="V131" s="59" t="n">
        <v>86.166</v>
      </c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 t="s">
        <v>83</v>
      </c>
      <c r="AH131" s="59" t="s">
        <v>84</v>
      </c>
      <c r="AI131" s="59" t="s">
        <v>84</v>
      </c>
      <c r="AJ131" s="59"/>
    </row>
    <row r="132" customFormat="false" ht="15.75" hidden="false" customHeight="false" outlineLevel="0" collapsed="false">
      <c r="A132" s="59" t="n">
        <v>65</v>
      </c>
      <c r="B132" s="59" t="s">
        <v>127</v>
      </c>
      <c r="C132" s="61" t="b">
        <f aca="false">FALSE()</f>
        <v>0</v>
      </c>
      <c r="D132" s="59" t="s">
        <v>30</v>
      </c>
      <c r="E132" s="59" t="s">
        <v>38</v>
      </c>
      <c r="F132" s="59" t="s">
        <v>81</v>
      </c>
      <c r="G132" s="59" t="s">
        <v>82</v>
      </c>
      <c r="H132" s="59" t="n">
        <v>24.336</v>
      </c>
      <c r="I132" s="59" t="n">
        <v>26.045</v>
      </c>
      <c r="J132" s="59" t="n">
        <v>2.36</v>
      </c>
      <c r="K132" s="59"/>
      <c r="L132" s="59"/>
      <c r="M132" s="59"/>
      <c r="N132" s="61" t="b">
        <f aca="false">TRUE()</f>
        <v>1</v>
      </c>
      <c r="O132" s="59" t="n">
        <v>0.168</v>
      </c>
      <c r="P132" s="61" t="b">
        <f aca="false">TRUE()</f>
        <v>1</v>
      </c>
      <c r="Q132" s="59" t="n">
        <v>1</v>
      </c>
      <c r="R132" s="59" t="n">
        <v>40</v>
      </c>
      <c r="S132" s="59"/>
      <c r="T132" s="59"/>
      <c r="U132" s="59"/>
      <c r="V132" s="59" t="n">
        <v>86.166</v>
      </c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 t="s">
        <v>83</v>
      </c>
      <c r="AH132" s="59" t="s">
        <v>84</v>
      </c>
      <c r="AI132" s="59" t="s">
        <v>84</v>
      </c>
      <c r="AJ132" s="59"/>
    </row>
    <row r="133" customFormat="false" ht="15.75" hidden="false" customHeight="false" outlineLevel="0" collapsed="false">
      <c r="A133" s="59" t="n">
        <v>66</v>
      </c>
      <c r="B133" s="59" t="s">
        <v>128</v>
      </c>
      <c r="C133" s="61" t="b">
        <f aca="false">FALSE()</f>
        <v>0</v>
      </c>
      <c r="D133" s="59" t="s">
        <v>31</v>
      </c>
      <c r="E133" s="59" t="s">
        <v>38</v>
      </c>
      <c r="F133" s="59" t="s">
        <v>81</v>
      </c>
      <c r="G133" s="59" t="s">
        <v>82</v>
      </c>
      <c r="H133" s="59" t="n">
        <v>25.432</v>
      </c>
      <c r="I133" s="59" t="n">
        <v>26.045</v>
      </c>
      <c r="J133" s="59" t="n">
        <v>2.36</v>
      </c>
      <c r="K133" s="59"/>
      <c r="L133" s="59"/>
      <c r="M133" s="59"/>
      <c r="N133" s="61" t="b">
        <f aca="false">TRUE()</f>
        <v>1</v>
      </c>
      <c r="O133" s="59" t="n">
        <v>0.168</v>
      </c>
      <c r="P133" s="61" t="b">
        <f aca="false">TRUE()</f>
        <v>1</v>
      </c>
      <c r="Q133" s="59" t="n">
        <v>1</v>
      </c>
      <c r="R133" s="59" t="n">
        <v>40</v>
      </c>
      <c r="S133" s="59"/>
      <c r="T133" s="59"/>
      <c r="U133" s="59"/>
      <c r="V133" s="59" t="n">
        <v>86.166</v>
      </c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 t="s">
        <v>83</v>
      </c>
      <c r="AH133" s="59" t="s">
        <v>84</v>
      </c>
      <c r="AI133" s="59" t="s">
        <v>84</v>
      </c>
      <c r="AJ133" s="59"/>
    </row>
    <row r="134" customFormat="false" ht="15.75" hidden="false" customHeight="false" outlineLevel="0" collapsed="false">
      <c r="A134" s="59" t="n">
        <v>1</v>
      </c>
      <c r="B134" s="59" t="s">
        <v>80</v>
      </c>
      <c r="C134" s="61" t="b">
        <f aca="false">FALSE()</f>
        <v>0</v>
      </c>
      <c r="D134" s="59" t="n">
        <v>100</v>
      </c>
      <c r="E134" s="59" t="s">
        <v>35</v>
      </c>
      <c r="F134" s="59" t="s">
        <v>129</v>
      </c>
      <c r="G134" s="59" t="s">
        <v>81</v>
      </c>
      <c r="H134" s="59" t="s">
        <v>82</v>
      </c>
      <c r="I134" s="59" t="n">
        <v>21.808</v>
      </c>
      <c r="J134" s="59" t="n">
        <v>27.687</v>
      </c>
      <c r="K134" s="59" t="n">
        <v>4.605</v>
      </c>
      <c r="L134" s="59"/>
      <c r="M134" s="59"/>
      <c r="N134" s="59"/>
      <c r="O134" s="61" t="b">
        <f aca="false">TRUE()</f>
        <v>1</v>
      </c>
      <c r="P134" s="59" t="n">
        <v>0.225</v>
      </c>
      <c r="Q134" s="61" t="b">
        <f aca="false">TRUE()</f>
        <v>1</v>
      </c>
      <c r="R134" s="59" t="n">
        <v>1</v>
      </c>
      <c r="S134" s="59" t="n">
        <v>40</v>
      </c>
      <c r="T134" s="59"/>
      <c r="U134" s="59"/>
      <c r="V134" s="59"/>
      <c r="W134" s="59" t="n">
        <v>82.887</v>
      </c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 t="s">
        <v>83</v>
      </c>
      <c r="AI134" s="59" t="s">
        <v>84</v>
      </c>
      <c r="AJ134" s="59" t="s">
        <v>84</v>
      </c>
    </row>
    <row r="135" customFormat="false" ht="15.75" hidden="false" customHeight="false" outlineLevel="0" collapsed="false">
      <c r="A135" s="59" t="n">
        <v>2</v>
      </c>
      <c r="B135" s="59" t="s">
        <v>85</v>
      </c>
      <c r="C135" s="61" t="b">
        <f aca="false">FALSE()</f>
        <v>0</v>
      </c>
      <c r="D135" s="59" t="n">
        <v>10</v>
      </c>
      <c r="E135" s="59" t="s">
        <v>35</v>
      </c>
      <c r="F135" s="59" t="s">
        <v>129</v>
      </c>
      <c r="G135" s="59" t="s">
        <v>81</v>
      </c>
      <c r="H135" s="59" t="s">
        <v>82</v>
      </c>
      <c r="I135" s="59" t="n">
        <v>25.059</v>
      </c>
      <c r="J135" s="59" t="n">
        <v>27.687</v>
      </c>
      <c r="K135" s="59" t="n">
        <v>4.605</v>
      </c>
      <c r="L135" s="59"/>
      <c r="M135" s="59"/>
      <c r="N135" s="59"/>
      <c r="O135" s="61" t="b">
        <f aca="false">TRUE()</f>
        <v>1</v>
      </c>
      <c r="P135" s="59" t="n">
        <v>0.225</v>
      </c>
      <c r="Q135" s="61" t="b">
        <f aca="false">TRUE()</f>
        <v>1</v>
      </c>
      <c r="R135" s="59" t="n">
        <v>1</v>
      </c>
      <c r="S135" s="59" t="n">
        <v>40</v>
      </c>
      <c r="T135" s="59"/>
      <c r="U135" s="59"/>
      <c r="V135" s="59"/>
      <c r="W135" s="59" t="n">
        <v>82.399</v>
      </c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 t="s">
        <v>83</v>
      </c>
      <c r="AI135" s="59" t="s">
        <v>84</v>
      </c>
      <c r="AJ135" s="59" t="s">
        <v>84</v>
      </c>
    </row>
    <row r="136" customFormat="false" ht="15.75" hidden="false" customHeight="false" outlineLevel="0" collapsed="false">
      <c r="A136" s="59" t="n">
        <v>3</v>
      </c>
      <c r="B136" s="59" t="s">
        <v>86</v>
      </c>
      <c r="C136" s="61" t="b">
        <f aca="false">FALSE()</f>
        <v>0</v>
      </c>
      <c r="D136" s="59" t="n">
        <v>1</v>
      </c>
      <c r="E136" s="59" t="s">
        <v>35</v>
      </c>
      <c r="F136" s="59" t="s">
        <v>129</v>
      </c>
      <c r="G136" s="59" t="s">
        <v>81</v>
      </c>
      <c r="H136" s="59" t="s">
        <v>82</v>
      </c>
      <c r="I136" s="59" t="n">
        <v>28.38</v>
      </c>
      <c r="J136" s="59" t="n">
        <v>27.687</v>
      </c>
      <c r="K136" s="59" t="n">
        <v>4.605</v>
      </c>
      <c r="L136" s="59"/>
      <c r="M136" s="59"/>
      <c r="N136" s="59"/>
      <c r="O136" s="61" t="b">
        <f aca="false">TRUE()</f>
        <v>1</v>
      </c>
      <c r="P136" s="59" t="n">
        <v>0.225</v>
      </c>
      <c r="Q136" s="61" t="b">
        <f aca="false">TRUE()</f>
        <v>1</v>
      </c>
      <c r="R136" s="59" t="n">
        <v>1</v>
      </c>
      <c r="S136" s="59" t="n">
        <v>40</v>
      </c>
      <c r="T136" s="59"/>
      <c r="U136" s="59"/>
      <c r="V136" s="59"/>
      <c r="W136" s="59" t="n">
        <v>82.399</v>
      </c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 t="s">
        <v>83</v>
      </c>
      <c r="AI136" s="59" t="s">
        <v>84</v>
      </c>
      <c r="AJ136" s="59" t="s">
        <v>84</v>
      </c>
    </row>
    <row r="137" customFormat="false" ht="15.75" hidden="false" customHeight="false" outlineLevel="0" collapsed="false">
      <c r="A137" s="59" t="n">
        <v>4</v>
      </c>
      <c r="B137" s="59" t="s">
        <v>87</v>
      </c>
      <c r="C137" s="61" t="b">
        <f aca="false">FALSE()</f>
        <v>0</v>
      </c>
      <c r="D137" s="59" t="n">
        <v>0.1</v>
      </c>
      <c r="E137" s="59" t="s">
        <v>35</v>
      </c>
      <c r="F137" s="59" t="s">
        <v>129</v>
      </c>
      <c r="G137" s="59" t="s">
        <v>81</v>
      </c>
      <c r="H137" s="59" t="s">
        <v>82</v>
      </c>
      <c r="I137" s="59" t="n">
        <v>31.864</v>
      </c>
      <c r="J137" s="59" t="n">
        <v>27.687</v>
      </c>
      <c r="K137" s="59" t="n">
        <v>4.605</v>
      </c>
      <c r="L137" s="59"/>
      <c r="M137" s="59"/>
      <c r="N137" s="59"/>
      <c r="O137" s="61" t="b">
        <f aca="false">TRUE()</f>
        <v>1</v>
      </c>
      <c r="P137" s="59" t="n">
        <v>0.225</v>
      </c>
      <c r="Q137" s="61" t="b">
        <f aca="false">TRUE()</f>
        <v>1</v>
      </c>
      <c r="R137" s="59" t="n">
        <v>1</v>
      </c>
      <c r="S137" s="59" t="n">
        <v>40</v>
      </c>
      <c r="T137" s="59"/>
      <c r="U137" s="59"/>
      <c r="V137" s="59"/>
      <c r="W137" s="59" t="n">
        <v>82.399</v>
      </c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 t="s">
        <v>83</v>
      </c>
      <c r="AI137" s="59" t="s">
        <v>84</v>
      </c>
      <c r="AJ137" s="59" t="s">
        <v>84</v>
      </c>
    </row>
    <row r="138" customFormat="false" ht="15.75" hidden="false" customHeight="false" outlineLevel="0" collapsed="false">
      <c r="A138" s="59" t="n">
        <v>5</v>
      </c>
      <c r="B138" s="59" t="s">
        <v>89</v>
      </c>
      <c r="C138" s="61" t="b">
        <f aca="false">FALSE()</f>
        <v>0</v>
      </c>
      <c r="D138" s="59" t="s">
        <v>3</v>
      </c>
      <c r="E138" s="59" t="s">
        <v>35</v>
      </c>
      <c r="F138" s="59" t="s">
        <v>129</v>
      </c>
      <c r="G138" s="59" t="s">
        <v>81</v>
      </c>
      <c r="H138" s="59" t="s">
        <v>82</v>
      </c>
      <c r="I138" s="59" t="n">
        <v>22.893</v>
      </c>
      <c r="J138" s="59" t="n">
        <v>27.687</v>
      </c>
      <c r="K138" s="59" t="n">
        <v>4.605</v>
      </c>
      <c r="L138" s="59"/>
      <c r="M138" s="59"/>
      <c r="N138" s="59"/>
      <c r="O138" s="61" t="b">
        <f aca="false">TRUE()</f>
        <v>1</v>
      </c>
      <c r="P138" s="59" t="n">
        <v>0.225</v>
      </c>
      <c r="Q138" s="61" t="b">
        <f aca="false">TRUE()</f>
        <v>1</v>
      </c>
      <c r="R138" s="59" t="n">
        <v>1</v>
      </c>
      <c r="S138" s="59" t="n">
        <v>40</v>
      </c>
      <c r="T138" s="59"/>
      <c r="U138" s="59"/>
      <c r="V138" s="59"/>
      <c r="W138" s="59" t="n">
        <v>82.692</v>
      </c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 t="s">
        <v>83</v>
      </c>
      <c r="AI138" s="59" t="s">
        <v>84</v>
      </c>
      <c r="AJ138" s="59" t="s">
        <v>84</v>
      </c>
    </row>
    <row r="139" customFormat="false" ht="15.75" hidden="false" customHeight="false" outlineLevel="0" collapsed="false">
      <c r="A139" s="59" t="n">
        <v>6</v>
      </c>
      <c r="B139" s="59" t="s">
        <v>90</v>
      </c>
      <c r="C139" s="61" t="b">
        <f aca="false">FALSE()</f>
        <v>0</v>
      </c>
      <c r="D139" s="59" t="s">
        <v>4</v>
      </c>
      <c r="E139" s="59" t="s">
        <v>35</v>
      </c>
      <c r="F139" s="59" t="s">
        <v>129</v>
      </c>
      <c r="G139" s="59" t="s">
        <v>81</v>
      </c>
      <c r="H139" s="59" t="s">
        <v>82</v>
      </c>
      <c r="I139" s="59" t="n">
        <v>22.436</v>
      </c>
      <c r="J139" s="59" t="n">
        <v>27.687</v>
      </c>
      <c r="K139" s="59" t="n">
        <v>4.605</v>
      </c>
      <c r="L139" s="59"/>
      <c r="M139" s="59"/>
      <c r="N139" s="59"/>
      <c r="O139" s="61" t="b">
        <f aca="false">TRUE()</f>
        <v>1</v>
      </c>
      <c r="P139" s="59" t="n">
        <v>0.225</v>
      </c>
      <c r="Q139" s="61" t="b">
        <f aca="false">TRUE()</f>
        <v>1</v>
      </c>
      <c r="R139" s="59" t="n">
        <v>1</v>
      </c>
      <c r="S139" s="59" t="n">
        <v>40</v>
      </c>
      <c r="T139" s="59"/>
      <c r="U139" s="59"/>
      <c r="V139" s="59"/>
      <c r="W139" s="59" t="n">
        <v>82.789</v>
      </c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 t="s">
        <v>83</v>
      </c>
      <c r="AI139" s="59" t="s">
        <v>84</v>
      </c>
      <c r="AJ139" s="59" t="s">
        <v>84</v>
      </c>
    </row>
    <row r="140" customFormat="false" ht="15.75" hidden="false" customHeight="false" outlineLevel="0" collapsed="false">
      <c r="A140" s="59" t="n">
        <v>7</v>
      </c>
      <c r="B140" s="59" t="s">
        <v>91</v>
      </c>
      <c r="C140" s="61" t="b">
        <f aca="false">FALSE()</f>
        <v>0</v>
      </c>
      <c r="D140" s="59" t="s">
        <v>5</v>
      </c>
      <c r="E140" s="59" t="s">
        <v>35</v>
      </c>
      <c r="F140" s="59" t="s">
        <v>129</v>
      </c>
      <c r="G140" s="59" t="s">
        <v>81</v>
      </c>
      <c r="H140" s="59" t="s">
        <v>82</v>
      </c>
      <c r="I140" s="59" t="n">
        <v>22.742</v>
      </c>
      <c r="J140" s="59" t="n">
        <v>27.687</v>
      </c>
      <c r="K140" s="59" t="n">
        <v>4.605</v>
      </c>
      <c r="L140" s="59"/>
      <c r="M140" s="59"/>
      <c r="N140" s="59"/>
      <c r="O140" s="61" t="b">
        <f aca="false">TRUE()</f>
        <v>1</v>
      </c>
      <c r="P140" s="59" t="n">
        <v>0.225</v>
      </c>
      <c r="Q140" s="61" t="b">
        <f aca="false">TRUE()</f>
        <v>1</v>
      </c>
      <c r="R140" s="59" t="n">
        <v>1</v>
      </c>
      <c r="S140" s="59" t="n">
        <v>40</v>
      </c>
      <c r="T140" s="59"/>
      <c r="U140" s="59"/>
      <c r="V140" s="59"/>
      <c r="W140" s="59" t="n">
        <v>82.789</v>
      </c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 t="s">
        <v>83</v>
      </c>
      <c r="AI140" s="59" t="s">
        <v>84</v>
      </c>
      <c r="AJ140" s="59" t="s">
        <v>84</v>
      </c>
    </row>
    <row r="141" customFormat="false" ht="15.75" hidden="false" customHeight="false" outlineLevel="0" collapsed="false">
      <c r="A141" s="59" t="n">
        <v>8</v>
      </c>
      <c r="B141" s="59" t="s">
        <v>92</v>
      </c>
      <c r="C141" s="61" t="b">
        <f aca="false">FALSE()</f>
        <v>0</v>
      </c>
      <c r="D141" s="59" t="s">
        <v>6</v>
      </c>
      <c r="E141" s="59" t="s">
        <v>35</v>
      </c>
      <c r="F141" s="59" t="s">
        <v>129</v>
      </c>
      <c r="G141" s="59" t="s">
        <v>81</v>
      </c>
      <c r="H141" s="59" t="s">
        <v>82</v>
      </c>
      <c r="I141" s="59" t="n">
        <v>23.482</v>
      </c>
      <c r="J141" s="59" t="n">
        <v>27.687</v>
      </c>
      <c r="K141" s="59" t="n">
        <v>4.605</v>
      </c>
      <c r="L141" s="59"/>
      <c r="M141" s="59"/>
      <c r="N141" s="59"/>
      <c r="O141" s="61" t="b">
        <f aca="false">TRUE()</f>
        <v>1</v>
      </c>
      <c r="P141" s="59" t="n">
        <v>0.225</v>
      </c>
      <c r="Q141" s="61" t="b">
        <f aca="false">TRUE()</f>
        <v>1</v>
      </c>
      <c r="R141" s="59" t="n">
        <v>1</v>
      </c>
      <c r="S141" s="59" t="n">
        <v>40</v>
      </c>
      <c r="T141" s="59"/>
      <c r="U141" s="59"/>
      <c r="V141" s="59"/>
      <c r="W141" s="59" t="n">
        <v>82.789</v>
      </c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 t="s">
        <v>83</v>
      </c>
      <c r="AI141" s="59" t="s">
        <v>84</v>
      </c>
      <c r="AJ141" s="59" t="s">
        <v>84</v>
      </c>
    </row>
    <row r="142" customFormat="false" ht="15.75" hidden="false" customHeight="false" outlineLevel="0" collapsed="false">
      <c r="A142" s="59" t="n">
        <v>9</v>
      </c>
      <c r="B142" s="59" t="s">
        <v>93</v>
      </c>
      <c r="C142" s="61" t="b">
        <f aca="false">FALSE()</f>
        <v>0</v>
      </c>
      <c r="D142" s="59" t="s">
        <v>7</v>
      </c>
      <c r="E142" s="59" t="s">
        <v>35</v>
      </c>
      <c r="F142" s="59" t="s">
        <v>129</v>
      </c>
      <c r="G142" s="59" t="s">
        <v>81</v>
      </c>
      <c r="H142" s="59" t="s">
        <v>82</v>
      </c>
      <c r="I142" s="59" t="n">
        <v>24.942</v>
      </c>
      <c r="J142" s="59" t="n">
        <v>27.687</v>
      </c>
      <c r="K142" s="59" t="n">
        <v>4.605</v>
      </c>
      <c r="L142" s="59"/>
      <c r="M142" s="59"/>
      <c r="N142" s="59"/>
      <c r="O142" s="61" t="b">
        <f aca="false">TRUE()</f>
        <v>1</v>
      </c>
      <c r="P142" s="59" t="n">
        <v>0.225</v>
      </c>
      <c r="Q142" s="61" t="b">
        <f aca="false">TRUE()</f>
        <v>1</v>
      </c>
      <c r="R142" s="59" t="n">
        <v>1</v>
      </c>
      <c r="S142" s="59" t="n">
        <v>40</v>
      </c>
      <c r="T142" s="59"/>
      <c r="U142" s="59"/>
      <c r="V142" s="59"/>
      <c r="W142" s="59" t="n">
        <v>82.692</v>
      </c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 t="s">
        <v>83</v>
      </c>
      <c r="AI142" s="59" t="s">
        <v>84</v>
      </c>
      <c r="AJ142" s="59" t="s">
        <v>84</v>
      </c>
    </row>
    <row r="143" customFormat="false" ht="15.75" hidden="false" customHeight="false" outlineLevel="0" collapsed="false">
      <c r="A143" s="59" t="n">
        <v>10</v>
      </c>
      <c r="B143" s="59" t="s">
        <v>94</v>
      </c>
      <c r="C143" s="61" t="b">
        <f aca="false">FALSE()</f>
        <v>0</v>
      </c>
      <c r="D143" s="59" t="s">
        <v>8</v>
      </c>
      <c r="E143" s="59" t="s">
        <v>35</v>
      </c>
      <c r="F143" s="59" t="s">
        <v>129</v>
      </c>
      <c r="G143" s="59" t="s">
        <v>81</v>
      </c>
      <c r="H143" s="59" t="s">
        <v>82</v>
      </c>
      <c r="I143" s="59" t="n">
        <v>22.298</v>
      </c>
      <c r="J143" s="59" t="n">
        <v>27.687</v>
      </c>
      <c r="K143" s="59" t="n">
        <v>4.605</v>
      </c>
      <c r="L143" s="59"/>
      <c r="M143" s="59"/>
      <c r="N143" s="59"/>
      <c r="O143" s="61" t="b">
        <f aca="false">TRUE()</f>
        <v>1</v>
      </c>
      <c r="P143" s="59" t="n">
        <v>0.225</v>
      </c>
      <c r="Q143" s="61" t="b">
        <f aca="false">TRUE()</f>
        <v>1</v>
      </c>
      <c r="R143" s="59" t="n">
        <v>1</v>
      </c>
      <c r="S143" s="59" t="n">
        <v>40</v>
      </c>
      <c r="T143" s="59"/>
      <c r="U143" s="59"/>
      <c r="V143" s="59"/>
      <c r="W143" s="59" t="n">
        <v>82.692</v>
      </c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 t="s">
        <v>83</v>
      </c>
      <c r="AI143" s="59" t="s">
        <v>84</v>
      </c>
      <c r="AJ143" s="59" t="s">
        <v>84</v>
      </c>
    </row>
    <row r="144" customFormat="false" ht="15.75" hidden="false" customHeight="false" outlineLevel="0" collapsed="false">
      <c r="A144" s="59" t="n">
        <v>11</v>
      </c>
      <c r="B144" s="59" t="s">
        <v>95</v>
      </c>
      <c r="C144" s="61" t="b">
        <f aca="false">FALSE()</f>
        <v>0</v>
      </c>
      <c r="D144" s="59" t="s">
        <v>9</v>
      </c>
      <c r="E144" s="59" t="s">
        <v>35</v>
      </c>
      <c r="F144" s="59" t="s">
        <v>129</v>
      </c>
      <c r="G144" s="59" t="s">
        <v>81</v>
      </c>
      <c r="H144" s="59" t="s">
        <v>82</v>
      </c>
      <c r="I144" s="59" t="n">
        <v>23.168</v>
      </c>
      <c r="J144" s="59" t="n">
        <v>27.687</v>
      </c>
      <c r="K144" s="59" t="n">
        <v>4.605</v>
      </c>
      <c r="L144" s="59"/>
      <c r="M144" s="59"/>
      <c r="N144" s="59"/>
      <c r="O144" s="61" t="b">
        <f aca="false">TRUE()</f>
        <v>1</v>
      </c>
      <c r="P144" s="59" t="n">
        <v>0.225</v>
      </c>
      <c r="Q144" s="61" t="b">
        <f aca="false">TRUE()</f>
        <v>1</v>
      </c>
      <c r="R144" s="59" t="n">
        <v>1</v>
      </c>
      <c r="S144" s="59" t="n">
        <v>40</v>
      </c>
      <c r="T144" s="59"/>
      <c r="U144" s="59"/>
      <c r="V144" s="59"/>
      <c r="W144" s="59" t="n">
        <v>82.594</v>
      </c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 t="s">
        <v>83</v>
      </c>
      <c r="AI144" s="59" t="s">
        <v>84</v>
      </c>
      <c r="AJ144" s="59" t="s">
        <v>84</v>
      </c>
    </row>
    <row r="145" customFormat="false" ht="15.75" hidden="false" customHeight="false" outlineLevel="0" collapsed="false">
      <c r="A145" s="59" t="n">
        <v>12</v>
      </c>
      <c r="B145" s="59" t="s">
        <v>96</v>
      </c>
      <c r="C145" s="61" t="b">
        <f aca="false">FALSE()</f>
        <v>0</v>
      </c>
      <c r="D145" s="59" t="s">
        <v>10</v>
      </c>
      <c r="E145" s="59" t="s">
        <v>35</v>
      </c>
      <c r="F145" s="59" t="s">
        <v>129</v>
      </c>
      <c r="G145" s="59" t="s">
        <v>81</v>
      </c>
      <c r="H145" s="59" t="s">
        <v>82</v>
      </c>
      <c r="I145" s="59" t="n">
        <v>23.205</v>
      </c>
      <c r="J145" s="59" t="n">
        <v>27.687</v>
      </c>
      <c r="K145" s="59" t="n">
        <v>4.605</v>
      </c>
      <c r="L145" s="59"/>
      <c r="M145" s="59"/>
      <c r="N145" s="59"/>
      <c r="O145" s="61" t="b">
        <f aca="false">TRUE()</f>
        <v>1</v>
      </c>
      <c r="P145" s="59" t="n">
        <v>0.225</v>
      </c>
      <c r="Q145" s="61" t="b">
        <f aca="false">TRUE()</f>
        <v>1</v>
      </c>
      <c r="R145" s="59" t="n">
        <v>1</v>
      </c>
      <c r="S145" s="59" t="n">
        <v>40</v>
      </c>
      <c r="T145" s="59"/>
      <c r="U145" s="59"/>
      <c r="V145" s="59"/>
      <c r="W145" s="59" t="n">
        <v>82.497</v>
      </c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 t="s">
        <v>83</v>
      </c>
      <c r="AI145" s="59" t="s">
        <v>84</v>
      </c>
      <c r="AJ145" s="59" t="s">
        <v>84</v>
      </c>
    </row>
    <row r="146" customFormat="false" ht="15.75" hidden="false" customHeight="false" outlineLevel="0" collapsed="false">
      <c r="A146" s="59" t="n">
        <v>17</v>
      </c>
      <c r="B146" s="59" t="s">
        <v>97</v>
      </c>
      <c r="C146" s="61" t="b">
        <f aca="false">FALSE()</f>
        <v>0</v>
      </c>
      <c r="D146" s="59" t="s">
        <v>11</v>
      </c>
      <c r="E146" s="59" t="s">
        <v>35</v>
      </c>
      <c r="F146" s="59" t="s">
        <v>129</v>
      </c>
      <c r="G146" s="59" t="s">
        <v>81</v>
      </c>
      <c r="H146" s="59" t="s">
        <v>82</v>
      </c>
      <c r="I146" s="59" t="n">
        <v>23.213</v>
      </c>
      <c r="J146" s="59" t="n">
        <v>27.687</v>
      </c>
      <c r="K146" s="59" t="n">
        <v>4.605</v>
      </c>
      <c r="L146" s="59"/>
      <c r="M146" s="59"/>
      <c r="N146" s="59"/>
      <c r="O146" s="61" t="b">
        <f aca="false">TRUE()</f>
        <v>1</v>
      </c>
      <c r="P146" s="59" t="n">
        <v>0.225</v>
      </c>
      <c r="Q146" s="61" t="b">
        <f aca="false">TRUE()</f>
        <v>1</v>
      </c>
      <c r="R146" s="59" t="n">
        <v>1</v>
      </c>
      <c r="S146" s="59" t="n">
        <v>40</v>
      </c>
      <c r="T146" s="59"/>
      <c r="U146" s="59"/>
      <c r="V146" s="59"/>
      <c r="W146" s="59" t="n">
        <v>82.594</v>
      </c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 t="s">
        <v>83</v>
      </c>
      <c r="AI146" s="59" t="s">
        <v>84</v>
      </c>
      <c r="AJ146" s="59" t="s">
        <v>84</v>
      </c>
    </row>
    <row r="147" customFormat="false" ht="15.75" hidden="false" customHeight="false" outlineLevel="0" collapsed="false">
      <c r="A147" s="59" t="n">
        <v>18</v>
      </c>
      <c r="B147" s="59" t="s">
        <v>98</v>
      </c>
      <c r="C147" s="61" t="b">
        <f aca="false">FALSE()</f>
        <v>0</v>
      </c>
      <c r="D147" s="59" t="s">
        <v>23</v>
      </c>
      <c r="E147" s="59" t="s">
        <v>35</v>
      </c>
      <c r="F147" s="59" t="s">
        <v>129</v>
      </c>
      <c r="G147" s="59" t="s">
        <v>81</v>
      </c>
      <c r="H147" s="59" t="s">
        <v>82</v>
      </c>
      <c r="I147" s="59" t="n">
        <v>23.01</v>
      </c>
      <c r="J147" s="59" t="n">
        <v>27.687</v>
      </c>
      <c r="K147" s="59" t="n">
        <v>4.605</v>
      </c>
      <c r="L147" s="59"/>
      <c r="M147" s="59"/>
      <c r="N147" s="59"/>
      <c r="O147" s="61" t="b">
        <f aca="false">TRUE()</f>
        <v>1</v>
      </c>
      <c r="P147" s="59" t="n">
        <v>0.225</v>
      </c>
      <c r="Q147" s="61" t="b">
        <f aca="false">TRUE()</f>
        <v>1</v>
      </c>
      <c r="R147" s="59" t="n">
        <v>1</v>
      </c>
      <c r="S147" s="59" t="n">
        <v>40</v>
      </c>
      <c r="T147" s="59"/>
      <c r="U147" s="59"/>
      <c r="V147" s="59"/>
      <c r="W147" s="59" t="n">
        <v>82.692</v>
      </c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 t="s">
        <v>83</v>
      </c>
      <c r="AI147" s="59" t="s">
        <v>84</v>
      </c>
      <c r="AJ147" s="59" t="s">
        <v>84</v>
      </c>
    </row>
    <row r="148" customFormat="false" ht="15.75" hidden="false" customHeight="false" outlineLevel="0" collapsed="false">
      <c r="A148" s="59" t="n">
        <v>19</v>
      </c>
      <c r="B148" s="59" t="s">
        <v>99</v>
      </c>
      <c r="C148" s="61" t="b">
        <f aca="false">FALSE()</f>
        <v>0</v>
      </c>
      <c r="D148" s="59" t="s">
        <v>24</v>
      </c>
      <c r="E148" s="59" t="s">
        <v>35</v>
      </c>
      <c r="F148" s="59" t="s">
        <v>129</v>
      </c>
      <c r="G148" s="59" t="s">
        <v>81</v>
      </c>
      <c r="H148" s="59" t="s">
        <v>82</v>
      </c>
      <c r="I148" s="59" t="n">
        <v>22.655</v>
      </c>
      <c r="J148" s="59" t="n">
        <v>27.687</v>
      </c>
      <c r="K148" s="59" t="n">
        <v>4.605</v>
      </c>
      <c r="L148" s="59"/>
      <c r="M148" s="59"/>
      <c r="N148" s="59"/>
      <c r="O148" s="61" t="b">
        <f aca="false">TRUE()</f>
        <v>1</v>
      </c>
      <c r="P148" s="59" t="n">
        <v>0.225</v>
      </c>
      <c r="Q148" s="61" t="b">
        <f aca="false">TRUE()</f>
        <v>1</v>
      </c>
      <c r="R148" s="59" t="n">
        <v>1</v>
      </c>
      <c r="S148" s="59" t="n">
        <v>40</v>
      </c>
      <c r="T148" s="59"/>
      <c r="U148" s="59"/>
      <c r="V148" s="59"/>
      <c r="W148" s="59" t="n">
        <v>82.789</v>
      </c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 t="s">
        <v>83</v>
      </c>
      <c r="AI148" s="59" t="s">
        <v>84</v>
      </c>
      <c r="AJ148" s="59" t="s">
        <v>84</v>
      </c>
    </row>
    <row r="149" customFormat="false" ht="15.75" hidden="false" customHeight="false" outlineLevel="0" collapsed="false">
      <c r="A149" s="59" t="n">
        <v>20</v>
      </c>
      <c r="B149" s="59" t="s">
        <v>100</v>
      </c>
      <c r="C149" s="61" t="b">
        <f aca="false">FALSE()</f>
        <v>0</v>
      </c>
      <c r="D149" s="59" t="s">
        <v>25</v>
      </c>
      <c r="E149" s="59" t="s">
        <v>35</v>
      </c>
      <c r="F149" s="59" t="s">
        <v>129</v>
      </c>
      <c r="G149" s="59" t="s">
        <v>81</v>
      </c>
      <c r="H149" s="59" t="s">
        <v>82</v>
      </c>
      <c r="I149" s="59" t="n">
        <v>22.47</v>
      </c>
      <c r="J149" s="59" t="n">
        <v>27.687</v>
      </c>
      <c r="K149" s="59" t="n">
        <v>4.605</v>
      </c>
      <c r="L149" s="59"/>
      <c r="M149" s="59"/>
      <c r="N149" s="59"/>
      <c r="O149" s="61" t="b">
        <f aca="false">TRUE()</f>
        <v>1</v>
      </c>
      <c r="P149" s="59" t="n">
        <v>0.225</v>
      </c>
      <c r="Q149" s="61" t="b">
        <f aca="false">TRUE()</f>
        <v>1</v>
      </c>
      <c r="R149" s="59" t="n">
        <v>1</v>
      </c>
      <c r="S149" s="59" t="n">
        <v>40</v>
      </c>
      <c r="T149" s="59"/>
      <c r="U149" s="59"/>
      <c r="V149" s="59"/>
      <c r="W149" s="59" t="n">
        <v>82.692</v>
      </c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 t="s">
        <v>83</v>
      </c>
      <c r="AI149" s="59" t="s">
        <v>84</v>
      </c>
      <c r="AJ149" s="59" t="s">
        <v>84</v>
      </c>
    </row>
    <row r="150" customFormat="false" ht="15.75" hidden="false" customHeight="false" outlineLevel="0" collapsed="false">
      <c r="A150" s="59" t="n">
        <v>21</v>
      </c>
      <c r="B150" s="59" t="s">
        <v>101</v>
      </c>
      <c r="C150" s="61" t="b">
        <f aca="false">FALSE()</f>
        <v>0</v>
      </c>
      <c r="D150" s="59" t="s">
        <v>26</v>
      </c>
      <c r="E150" s="59" t="s">
        <v>35</v>
      </c>
      <c r="F150" s="59" t="s">
        <v>129</v>
      </c>
      <c r="G150" s="59" t="s">
        <v>81</v>
      </c>
      <c r="H150" s="59" t="s">
        <v>82</v>
      </c>
      <c r="I150" s="59" t="n">
        <v>23.017</v>
      </c>
      <c r="J150" s="59" t="n">
        <v>27.687</v>
      </c>
      <c r="K150" s="59" t="n">
        <v>4.605</v>
      </c>
      <c r="L150" s="59"/>
      <c r="M150" s="59"/>
      <c r="N150" s="59"/>
      <c r="O150" s="61" t="b">
        <f aca="false">TRUE()</f>
        <v>1</v>
      </c>
      <c r="P150" s="59" t="n">
        <v>0.225</v>
      </c>
      <c r="Q150" s="61" t="b">
        <f aca="false">TRUE()</f>
        <v>1</v>
      </c>
      <c r="R150" s="59" t="n">
        <v>1</v>
      </c>
      <c r="S150" s="59" t="n">
        <v>40</v>
      </c>
      <c r="T150" s="59"/>
      <c r="U150" s="59"/>
      <c r="V150" s="59"/>
      <c r="W150" s="59" t="n">
        <v>82.692</v>
      </c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 t="s">
        <v>83</v>
      </c>
      <c r="AI150" s="59" t="s">
        <v>84</v>
      </c>
      <c r="AJ150" s="59" t="s">
        <v>84</v>
      </c>
    </row>
    <row r="151" customFormat="false" ht="15.75" hidden="false" customHeight="false" outlineLevel="0" collapsed="false">
      <c r="A151" s="59" t="n">
        <v>22</v>
      </c>
      <c r="B151" s="59" t="s">
        <v>102</v>
      </c>
      <c r="C151" s="61" t="b">
        <f aca="false">FALSE()</f>
        <v>0</v>
      </c>
      <c r="D151" s="59" t="s">
        <v>27</v>
      </c>
      <c r="E151" s="59" t="s">
        <v>35</v>
      </c>
      <c r="F151" s="59" t="s">
        <v>129</v>
      </c>
      <c r="G151" s="59" t="s">
        <v>81</v>
      </c>
      <c r="H151" s="59" t="s">
        <v>82</v>
      </c>
      <c r="I151" s="59" t="n">
        <v>21.754</v>
      </c>
      <c r="J151" s="59" t="n">
        <v>27.687</v>
      </c>
      <c r="K151" s="59" t="n">
        <v>4.605</v>
      </c>
      <c r="L151" s="59"/>
      <c r="M151" s="59"/>
      <c r="N151" s="59"/>
      <c r="O151" s="61" t="b">
        <f aca="false">TRUE()</f>
        <v>1</v>
      </c>
      <c r="P151" s="59" t="n">
        <v>0.225</v>
      </c>
      <c r="Q151" s="61" t="b">
        <f aca="false">TRUE()</f>
        <v>1</v>
      </c>
      <c r="R151" s="59" t="n">
        <v>1</v>
      </c>
      <c r="S151" s="59" t="n">
        <v>40</v>
      </c>
      <c r="T151" s="59"/>
      <c r="U151" s="59"/>
      <c r="V151" s="59"/>
      <c r="W151" s="59" t="n">
        <v>82.692</v>
      </c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 t="s">
        <v>83</v>
      </c>
      <c r="AI151" s="59" t="s">
        <v>84</v>
      </c>
      <c r="AJ151" s="59" t="s">
        <v>84</v>
      </c>
    </row>
    <row r="152" customFormat="false" ht="15.75" hidden="false" customHeight="false" outlineLevel="0" collapsed="false">
      <c r="A152" s="59" t="n">
        <v>23</v>
      </c>
      <c r="B152" s="59" t="s">
        <v>103</v>
      </c>
      <c r="C152" s="61" t="b">
        <f aca="false">FALSE()</f>
        <v>0</v>
      </c>
      <c r="D152" s="59" t="s">
        <v>28</v>
      </c>
      <c r="E152" s="59" t="s">
        <v>35</v>
      </c>
      <c r="F152" s="59" t="s">
        <v>129</v>
      </c>
      <c r="G152" s="59" t="s">
        <v>81</v>
      </c>
      <c r="H152" s="59" t="s">
        <v>82</v>
      </c>
      <c r="I152" s="59" t="n">
        <v>22.535</v>
      </c>
      <c r="J152" s="59" t="n">
        <v>27.687</v>
      </c>
      <c r="K152" s="59" t="n">
        <v>4.605</v>
      </c>
      <c r="L152" s="59"/>
      <c r="M152" s="59"/>
      <c r="N152" s="59"/>
      <c r="O152" s="61" t="b">
        <f aca="false">TRUE()</f>
        <v>1</v>
      </c>
      <c r="P152" s="59" t="n">
        <v>0.225</v>
      </c>
      <c r="Q152" s="61" t="b">
        <f aca="false">TRUE()</f>
        <v>1</v>
      </c>
      <c r="R152" s="59" t="n">
        <v>1</v>
      </c>
      <c r="S152" s="59" t="n">
        <v>40</v>
      </c>
      <c r="T152" s="59"/>
      <c r="U152" s="59"/>
      <c r="V152" s="59"/>
      <c r="W152" s="59" t="n">
        <v>82.594</v>
      </c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 t="s">
        <v>83</v>
      </c>
      <c r="AI152" s="59" t="s">
        <v>84</v>
      </c>
      <c r="AJ152" s="59" t="s">
        <v>84</v>
      </c>
    </row>
    <row r="153" customFormat="false" ht="15.75" hidden="false" customHeight="false" outlineLevel="0" collapsed="false">
      <c r="A153" s="59" t="n">
        <v>24</v>
      </c>
      <c r="B153" s="59" t="s">
        <v>104</v>
      </c>
      <c r="C153" s="61" t="b">
        <f aca="false">FALSE()</f>
        <v>0</v>
      </c>
      <c r="D153" s="59" t="s">
        <v>29</v>
      </c>
      <c r="E153" s="59" t="s">
        <v>35</v>
      </c>
      <c r="F153" s="59" t="s">
        <v>129</v>
      </c>
      <c r="G153" s="59" t="s">
        <v>81</v>
      </c>
      <c r="H153" s="59" t="s">
        <v>82</v>
      </c>
      <c r="I153" s="59" t="n">
        <v>22.621</v>
      </c>
      <c r="J153" s="59" t="n">
        <v>27.687</v>
      </c>
      <c r="K153" s="59" t="n">
        <v>4.605</v>
      </c>
      <c r="L153" s="59"/>
      <c r="M153" s="59"/>
      <c r="N153" s="59"/>
      <c r="O153" s="61" t="b">
        <f aca="false">TRUE()</f>
        <v>1</v>
      </c>
      <c r="P153" s="59" t="n">
        <v>0.225</v>
      </c>
      <c r="Q153" s="61" t="b">
        <f aca="false">TRUE()</f>
        <v>1</v>
      </c>
      <c r="R153" s="59" t="n">
        <v>1</v>
      </c>
      <c r="S153" s="59" t="n">
        <v>40</v>
      </c>
      <c r="T153" s="59"/>
      <c r="U153" s="59"/>
      <c r="V153" s="59"/>
      <c r="W153" s="59" t="n">
        <v>82.594</v>
      </c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 t="s">
        <v>83</v>
      </c>
      <c r="AI153" s="59" t="s">
        <v>84</v>
      </c>
      <c r="AJ153" s="59" t="s">
        <v>84</v>
      </c>
    </row>
    <row r="154" customFormat="false" ht="15.75" hidden="false" customHeight="false" outlineLevel="0" collapsed="false">
      <c r="A154" s="59" t="n">
        <v>29</v>
      </c>
      <c r="B154" s="59" t="s">
        <v>105</v>
      </c>
      <c r="C154" s="61" t="b">
        <f aca="false">FALSE()</f>
        <v>0</v>
      </c>
      <c r="D154" s="59" t="s">
        <v>30</v>
      </c>
      <c r="E154" s="59" t="s">
        <v>35</v>
      </c>
      <c r="F154" s="59" t="s">
        <v>129</v>
      </c>
      <c r="G154" s="59" t="s">
        <v>81</v>
      </c>
      <c r="H154" s="59" t="s">
        <v>82</v>
      </c>
      <c r="I154" s="59" t="n">
        <v>23.228</v>
      </c>
      <c r="J154" s="59" t="n">
        <v>27.687</v>
      </c>
      <c r="K154" s="59" t="n">
        <v>4.605</v>
      </c>
      <c r="L154" s="59"/>
      <c r="M154" s="59"/>
      <c r="N154" s="59"/>
      <c r="O154" s="61" t="b">
        <f aca="false">TRUE()</f>
        <v>1</v>
      </c>
      <c r="P154" s="59" t="n">
        <v>0.225</v>
      </c>
      <c r="Q154" s="61" t="b">
        <f aca="false">TRUE()</f>
        <v>1</v>
      </c>
      <c r="R154" s="59" t="n">
        <v>1</v>
      </c>
      <c r="S154" s="59" t="n">
        <v>40</v>
      </c>
      <c r="T154" s="59"/>
      <c r="U154" s="59"/>
      <c r="V154" s="59"/>
      <c r="W154" s="59" t="n">
        <v>82.692</v>
      </c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 t="s">
        <v>83</v>
      </c>
      <c r="AI154" s="59" t="s">
        <v>84</v>
      </c>
      <c r="AJ154" s="59" t="s">
        <v>84</v>
      </c>
    </row>
    <row r="155" customFormat="false" ht="15.75" hidden="false" customHeight="false" outlineLevel="0" collapsed="false">
      <c r="A155" s="59" t="n">
        <v>30</v>
      </c>
      <c r="B155" s="59" t="s">
        <v>106</v>
      </c>
      <c r="C155" s="61" t="b">
        <f aca="false">FALSE()</f>
        <v>0</v>
      </c>
      <c r="D155" s="59" t="s">
        <v>31</v>
      </c>
      <c r="E155" s="59" t="s">
        <v>35</v>
      </c>
      <c r="F155" s="59" t="s">
        <v>129</v>
      </c>
      <c r="G155" s="59" t="s">
        <v>81</v>
      </c>
      <c r="H155" s="59" t="s">
        <v>82</v>
      </c>
      <c r="I155" s="59" t="n">
        <v>23.271</v>
      </c>
      <c r="J155" s="59" t="n">
        <v>27.687</v>
      </c>
      <c r="K155" s="59" t="n">
        <v>4.605</v>
      </c>
      <c r="L155" s="59"/>
      <c r="M155" s="59"/>
      <c r="N155" s="59"/>
      <c r="O155" s="61" t="b">
        <f aca="false">TRUE()</f>
        <v>1</v>
      </c>
      <c r="P155" s="59" t="n">
        <v>0.225</v>
      </c>
      <c r="Q155" s="61" t="b">
        <f aca="false">TRUE()</f>
        <v>1</v>
      </c>
      <c r="R155" s="59" t="n">
        <v>1</v>
      </c>
      <c r="S155" s="59" t="n">
        <v>40</v>
      </c>
      <c r="T155" s="59"/>
      <c r="U155" s="59"/>
      <c r="V155" s="59"/>
      <c r="W155" s="59" t="n">
        <v>82.692</v>
      </c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 t="s">
        <v>83</v>
      </c>
      <c r="AI155" s="59" t="s">
        <v>84</v>
      </c>
      <c r="AJ155" s="59" t="s">
        <v>84</v>
      </c>
    </row>
    <row r="156" customFormat="false" ht="15.75" hidden="false" customHeight="false" outlineLevel="0" collapsed="false">
      <c r="A156" s="59" t="n">
        <v>37</v>
      </c>
      <c r="B156" s="59" t="s">
        <v>107</v>
      </c>
      <c r="C156" s="61" t="b">
        <f aca="false">FALSE()</f>
        <v>0</v>
      </c>
      <c r="D156" s="59" t="n">
        <v>100</v>
      </c>
      <c r="E156" s="59" t="s">
        <v>36</v>
      </c>
      <c r="F156" s="59" t="s">
        <v>129</v>
      </c>
      <c r="G156" s="59" t="s">
        <v>81</v>
      </c>
      <c r="H156" s="59" t="s">
        <v>82</v>
      </c>
      <c r="I156" s="59" t="n">
        <v>30.65</v>
      </c>
      <c r="J156" s="59" t="n">
        <v>27.687</v>
      </c>
      <c r="K156" s="59" t="n">
        <v>4.605</v>
      </c>
      <c r="L156" s="59"/>
      <c r="M156" s="59"/>
      <c r="N156" s="59"/>
      <c r="O156" s="61" t="b">
        <f aca="false">TRUE()</f>
        <v>1</v>
      </c>
      <c r="P156" s="59" t="n">
        <v>0.225</v>
      </c>
      <c r="Q156" s="61" t="b">
        <f aca="false">TRUE()</f>
        <v>1</v>
      </c>
      <c r="R156" s="59" t="n">
        <v>1</v>
      </c>
      <c r="S156" s="59" t="n">
        <v>40</v>
      </c>
      <c r="T156" s="59"/>
      <c r="U156" s="59"/>
      <c r="V156" s="59"/>
      <c r="W156" s="59" t="n">
        <v>82.789</v>
      </c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 t="s">
        <v>83</v>
      </c>
      <c r="AI156" s="59" t="s">
        <v>84</v>
      </c>
      <c r="AJ156" s="59" t="s">
        <v>84</v>
      </c>
    </row>
    <row r="157" customFormat="false" ht="15.75" hidden="false" customHeight="false" outlineLevel="0" collapsed="false">
      <c r="A157" s="59" t="n">
        <v>38</v>
      </c>
      <c r="B157" s="59" t="s">
        <v>108</v>
      </c>
      <c r="C157" s="61" t="b">
        <f aca="false">FALSE()</f>
        <v>0</v>
      </c>
      <c r="D157" s="59" t="n">
        <v>10</v>
      </c>
      <c r="E157" s="59" t="s">
        <v>36</v>
      </c>
      <c r="F157" s="59" t="s">
        <v>129</v>
      </c>
      <c r="G157" s="59" t="s">
        <v>81</v>
      </c>
      <c r="H157" s="59" t="s">
        <v>82</v>
      </c>
      <c r="I157" s="59" t="n">
        <v>33.799</v>
      </c>
      <c r="J157" s="59" t="n">
        <v>27.687</v>
      </c>
      <c r="K157" s="59" t="n">
        <v>4.605</v>
      </c>
      <c r="L157" s="59"/>
      <c r="M157" s="59"/>
      <c r="N157" s="59"/>
      <c r="O157" s="61" t="b">
        <f aca="false">TRUE()</f>
        <v>1</v>
      </c>
      <c r="P157" s="59" t="n">
        <v>0.225</v>
      </c>
      <c r="Q157" s="61" t="b">
        <f aca="false">TRUE()</f>
        <v>1</v>
      </c>
      <c r="R157" s="59" t="n">
        <v>1</v>
      </c>
      <c r="S157" s="59" t="n">
        <v>40</v>
      </c>
      <c r="T157" s="59"/>
      <c r="U157" s="59"/>
      <c r="V157" s="59"/>
      <c r="W157" s="59" t="n">
        <v>82.301</v>
      </c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 t="s">
        <v>83</v>
      </c>
      <c r="AI157" s="59" t="s">
        <v>84</v>
      </c>
      <c r="AJ157" s="59" t="s">
        <v>84</v>
      </c>
    </row>
    <row r="158" customFormat="false" ht="15.75" hidden="false" customHeight="false" outlineLevel="0" collapsed="false">
      <c r="A158" s="59" t="n">
        <v>39</v>
      </c>
      <c r="B158" s="59" t="s">
        <v>109</v>
      </c>
      <c r="C158" s="61" t="b">
        <f aca="false">FALSE()</f>
        <v>0</v>
      </c>
      <c r="D158" s="59" t="n">
        <v>1</v>
      </c>
      <c r="E158" s="59" t="s">
        <v>36</v>
      </c>
      <c r="F158" s="59" t="s">
        <v>129</v>
      </c>
      <c r="G158" s="59" t="s">
        <v>81</v>
      </c>
      <c r="H158" s="59" t="s">
        <v>82</v>
      </c>
      <c r="I158" s="59" t="n">
        <v>36.702</v>
      </c>
      <c r="J158" s="59" t="n">
        <v>27.687</v>
      </c>
      <c r="K158" s="59" t="n">
        <v>4.605</v>
      </c>
      <c r="L158" s="59"/>
      <c r="M158" s="59"/>
      <c r="N158" s="59"/>
      <c r="O158" s="61" t="b">
        <f aca="false">TRUE()</f>
        <v>1</v>
      </c>
      <c r="P158" s="59" t="n">
        <v>0.225</v>
      </c>
      <c r="Q158" s="61" t="b">
        <f aca="false">TRUE()</f>
        <v>1</v>
      </c>
      <c r="R158" s="59" t="n">
        <v>1</v>
      </c>
      <c r="S158" s="59" t="n">
        <v>40</v>
      </c>
      <c r="T158" s="59"/>
      <c r="U158" s="59"/>
      <c r="V158" s="59"/>
      <c r="W158" s="59" t="n">
        <v>82.204</v>
      </c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 t="s">
        <v>83</v>
      </c>
      <c r="AI158" s="59" t="s">
        <v>84</v>
      </c>
      <c r="AJ158" s="59" t="s">
        <v>84</v>
      </c>
    </row>
    <row r="159" customFormat="false" ht="15.75" hidden="false" customHeight="false" outlineLevel="0" collapsed="false">
      <c r="A159" s="59" t="n">
        <v>40</v>
      </c>
      <c r="B159" s="59" t="s">
        <v>110</v>
      </c>
      <c r="C159" s="61" t="b">
        <f aca="false">FALSE()</f>
        <v>0</v>
      </c>
      <c r="D159" s="59" t="n">
        <v>0.1</v>
      </c>
      <c r="E159" s="59" t="s">
        <v>36</v>
      </c>
      <c r="F159" s="59" t="s">
        <v>129</v>
      </c>
      <c r="G159" s="59" t="s">
        <v>81</v>
      </c>
      <c r="H159" s="59" t="s">
        <v>82</v>
      </c>
      <c r="I159" s="59" t="s">
        <v>88</v>
      </c>
      <c r="J159" s="59" t="n">
        <v>27.687</v>
      </c>
      <c r="K159" s="59" t="n">
        <v>4.605</v>
      </c>
      <c r="L159" s="59"/>
      <c r="M159" s="59"/>
      <c r="N159" s="59"/>
      <c r="O159" s="61" t="b">
        <f aca="false">TRUE()</f>
        <v>1</v>
      </c>
      <c r="P159" s="59" t="n">
        <v>0.225</v>
      </c>
      <c r="Q159" s="61" t="b">
        <f aca="false">TRUE()</f>
        <v>1</v>
      </c>
      <c r="R159" s="59" t="n">
        <v>1</v>
      </c>
      <c r="S159" s="59" t="n">
        <v>40</v>
      </c>
      <c r="T159" s="59"/>
      <c r="U159" s="59"/>
      <c r="V159" s="59"/>
      <c r="W159" s="59" t="n">
        <v>75.567</v>
      </c>
      <c r="X159" s="59"/>
      <c r="Y159" s="59" t="n">
        <v>82.399</v>
      </c>
      <c r="Z159" s="59"/>
      <c r="AA159" s="59" t="n">
        <v>79.764</v>
      </c>
      <c r="AB159" s="59"/>
      <c r="AC159" s="59"/>
      <c r="AD159" s="59"/>
      <c r="AE159" s="59"/>
      <c r="AF159" s="59"/>
      <c r="AG159" s="59"/>
      <c r="AH159" s="59" t="s">
        <v>84</v>
      </c>
      <c r="AI159" s="59" t="s">
        <v>83</v>
      </c>
      <c r="AJ159" s="59" t="s">
        <v>83</v>
      </c>
    </row>
    <row r="160" customFormat="false" ht="15.75" hidden="false" customHeight="false" outlineLevel="0" collapsed="false">
      <c r="A160" s="59" t="n">
        <v>41</v>
      </c>
      <c r="B160" s="59" t="s">
        <v>111</v>
      </c>
      <c r="C160" s="61" t="b">
        <f aca="false">FALSE()</f>
        <v>0</v>
      </c>
      <c r="D160" s="59" t="s">
        <v>3</v>
      </c>
      <c r="E160" s="59" t="s">
        <v>36</v>
      </c>
      <c r="F160" s="59" t="s">
        <v>129</v>
      </c>
      <c r="G160" s="59" t="s">
        <v>81</v>
      </c>
      <c r="H160" s="59" t="s">
        <v>82</v>
      </c>
      <c r="I160" s="59" t="n">
        <v>30.779</v>
      </c>
      <c r="J160" s="59" t="n">
        <v>27.687</v>
      </c>
      <c r="K160" s="59" t="n">
        <v>4.605</v>
      </c>
      <c r="L160" s="59"/>
      <c r="M160" s="59"/>
      <c r="N160" s="59"/>
      <c r="O160" s="61" t="b">
        <f aca="false">TRUE()</f>
        <v>1</v>
      </c>
      <c r="P160" s="59" t="n">
        <v>0.225</v>
      </c>
      <c r="Q160" s="61" t="b">
        <f aca="false">TRUE()</f>
        <v>1</v>
      </c>
      <c r="R160" s="59" t="n">
        <v>1</v>
      </c>
      <c r="S160" s="59" t="n">
        <v>40</v>
      </c>
      <c r="T160" s="59"/>
      <c r="U160" s="59"/>
      <c r="V160" s="59"/>
      <c r="W160" s="59" t="n">
        <v>82.399</v>
      </c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 t="s">
        <v>83</v>
      </c>
      <c r="AI160" s="59" t="s">
        <v>84</v>
      </c>
      <c r="AJ160" s="59" t="s">
        <v>84</v>
      </c>
    </row>
    <row r="161" customFormat="false" ht="15.75" hidden="false" customHeight="false" outlineLevel="0" collapsed="false">
      <c r="A161" s="59" t="n">
        <v>42</v>
      </c>
      <c r="B161" s="59" t="s">
        <v>112</v>
      </c>
      <c r="C161" s="61" t="b">
        <f aca="false">FALSE()</f>
        <v>0</v>
      </c>
      <c r="D161" s="59" t="s">
        <v>4</v>
      </c>
      <c r="E161" s="59" t="s">
        <v>36</v>
      </c>
      <c r="F161" s="59" t="s">
        <v>129</v>
      </c>
      <c r="G161" s="59" t="s">
        <v>81</v>
      </c>
      <c r="H161" s="59" t="s">
        <v>82</v>
      </c>
      <c r="I161" s="59" t="n">
        <v>30.746</v>
      </c>
      <c r="J161" s="59" t="n">
        <v>27.687</v>
      </c>
      <c r="K161" s="59" t="n">
        <v>4.605</v>
      </c>
      <c r="L161" s="59"/>
      <c r="M161" s="59"/>
      <c r="N161" s="59"/>
      <c r="O161" s="61" t="b">
        <f aca="false">TRUE()</f>
        <v>1</v>
      </c>
      <c r="P161" s="59" t="n">
        <v>0.225</v>
      </c>
      <c r="Q161" s="61" t="b">
        <f aca="false">TRUE()</f>
        <v>1</v>
      </c>
      <c r="R161" s="59" t="n">
        <v>1</v>
      </c>
      <c r="S161" s="59" t="n">
        <v>40</v>
      </c>
      <c r="T161" s="59"/>
      <c r="U161" s="59"/>
      <c r="V161" s="59"/>
      <c r="W161" s="59" t="n">
        <v>82.399</v>
      </c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 t="s">
        <v>83</v>
      </c>
      <c r="AI161" s="59" t="s">
        <v>84</v>
      </c>
      <c r="AJ161" s="59" t="s">
        <v>84</v>
      </c>
    </row>
    <row r="162" customFormat="false" ht="15.75" hidden="false" customHeight="false" outlineLevel="0" collapsed="false">
      <c r="A162" s="59" t="n">
        <v>43</v>
      </c>
      <c r="B162" s="59" t="s">
        <v>113</v>
      </c>
      <c r="C162" s="61" t="b">
        <f aca="false">FALSE()</f>
        <v>0</v>
      </c>
      <c r="D162" s="59" t="s">
        <v>5</v>
      </c>
      <c r="E162" s="59" t="s">
        <v>36</v>
      </c>
      <c r="F162" s="59" t="s">
        <v>129</v>
      </c>
      <c r="G162" s="59" t="s">
        <v>81</v>
      </c>
      <c r="H162" s="59" t="s">
        <v>82</v>
      </c>
      <c r="I162" s="59" t="n">
        <v>31.359</v>
      </c>
      <c r="J162" s="59" t="n">
        <v>27.687</v>
      </c>
      <c r="K162" s="59" t="n">
        <v>4.605</v>
      </c>
      <c r="L162" s="59"/>
      <c r="M162" s="59"/>
      <c r="N162" s="59"/>
      <c r="O162" s="61" t="b">
        <f aca="false">TRUE()</f>
        <v>1</v>
      </c>
      <c r="P162" s="59" t="n">
        <v>0.225</v>
      </c>
      <c r="Q162" s="61" t="b">
        <f aca="false">TRUE()</f>
        <v>1</v>
      </c>
      <c r="R162" s="59" t="n">
        <v>1</v>
      </c>
      <c r="S162" s="59" t="n">
        <v>40</v>
      </c>
      <c r="T162" s="59"/>
      <c r="U162" s="59"/>
      <c r="V162" s="59"/>
      <c r="W162" s="59" t="n">
        <v>82.399</v>
      </c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 t="s">
        <v>83</v>
      </c>
      <c r="AI162" s="59" t="s">
        <v>84</v>
      </c>
      <c r="AJ162" s="59" t="s">
        <v>84</v>
      </c>
    </row>
    <row r="163" customFormat="false" ht="15.75" hidden="false" customHeight="false" outlineLevel="0" collapsed="false">
      <c r="A163" s="59" t="n">
        <v>44</v>
      </c>
      <c r="B163" s="59" t="s">
        <v>114</v>
      </c>
      <c r="C163" s="61" t="b">
        <f aca="false">FALSE()</f>
        <v>0</v>
      </c>
      <c r="D163" s="59" t="s">
        <v>6</v>
      </c>
      <c r="E163" s="59" t="s">
        <v>36</v>
      </c>
      <c r="F163" s="59" t="s">
        <v>129</v>
      </c>
      <c r="G163" s="59" t="s">
        <v>81</v>
      </c>
      <c r="H163" s="59" t="s">
        <v>82</v>
      </c>
      <c r="I163" s="59" t="n">
        <v>32.103</v>
      </c>
      <c r="J163" s="59" t="n">
        <v>27.687</v>
      </c>
      <c r="K163" s="59" t="n">
        <v>4.605</v>
      </c>
      <c r="L163" s="59"/>
      <c r="M163" s="59"/>
      <c r="N163" s="59"/>
      <c r="O163" s="61" t="b">
        <f aca="false">TRUE()</f>
        <v>1</v>
      </c>
      <c r="P163" s="59" t="n">
        <v>0.225</v>
      </c>
      <c r="Q163" s="61" t="b">
        <f aca="false">TRUE()</f>
        <v>1</v>
      </c>
      <c r="R163" s="59" t="n">
        <v>1</v>
      </c>
      <c r="S163" s="59" t="n">
        <v>40</v>
      </c>
      <c r="T163" s="59"/>
      <c r="U163" s="59"/>
      <c r="V163" s="59"/>
      <c r="W163" s="59" t="n">
        <v>82.301</v>
      </c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 t="s">
        <v>83</v>
      </c>
      <c r="AI163" s="59" t="s">
        <v>84</v>
      </c>
      <c r="AJ163" s="59" t="s">
        <v>84</v>
      </c>
    </row>
    <row r="164" customFormat="false" ht="15.75" hidden="false" customHeight="false" outlineLevel="0" collapsed="false">
      <c r="A164" s="59" t="n">
        <v>45</v>
      </c>
      <c r="B164" s="59" t="s">
        <v>115</v>
      </c>
      <c r="C164" s="61" t="b">
        <f aca="false">FALSE()</f>
        <v>0</v>
      </c>
      <c r="D164" s="59" t="s">
        <v>7</v>
      </c>
      <c r="E164" s="59" t="s">
        <v>36</v>
      </c>
      <c r="F164" s="59" t="s">
        <v>129</v>
      </c>
      <c r="G164" s="59" t="s">
        <v>81</v>
      </c>
      <c r="H164" s="59" t="s">
        <v>82</v>
      </c>
      <c r="I164" s="59" t="n">
        <v>33.279</v>
      </c>
      <c r="J164" s="59" t="n">
        <v>27.687</v>
      </c>
      <c r="K164" s="59" t="n">
        <v>4.605</v>
      </c>
      <c r="L164" s="59"/>
      <c r="M164" s="59"/>
      <c r="N164" s="59"/>
      <c r="O164" s="61" t="b">
        <f aca="false">TRUE()</f>
        <v>1</v>
      </c>
      <c r="P164" s="59" t="n">
        <v>0.225</v>
      </c>
      <c r="Q164" s="61" t="b">
        <f aca="false">TRUE()</f>
        <v>1</v>
      </c>
      <c r="R164" s="59" t="n">
        <v>1</v>
      </c>
      <c r="S164" s="59" t="n">
        <v>40</v>
      </c>
      <c r="T164" s="59"/>
      <c r="U164" s="59"/>
      <c r="V164" s="59"/>
      <c r="W164" s="59" t="n">
        <v>82.399</v>
      </c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 t="s">
        <v>83</v>
      </c>
      <c r="AI164" s="59" t="s">
        <v>84</v>
      </c>
      <c r="AJ164" s="59" t="s">
        <v>84</v>
      </c>
    </row>
    <row r="165" customFormat="false" ht="15.75" hidden="false" customHeight="false" outlineLevel="0" collapsed="false">
      <c r="A165" s="59" t="n">
        <v>46</v>
      </c>
      <c r="B165" s="59" t="s">
        <v>116</v>
      </c>
      <c r="C165" s="61" t="b">
        <f aca="false">FALSE()</f>
        <v>0</v>
      </c>
      <c r="D165" s="59" t="s">
        <v>8</v>
      </c>
      <c r="E165" s="59" t="s">
        <v>36</v>
      </c>
      <c r="F165" s="59" t="s">
        <v>129</v>
      </c>
      <c r="G165" s="59" t="s">
        <v>81</v>
      </c>
      <c r="H165" s="59" t="s">
        <v>82</v>
      </c>
      <c r="I165" s="59" t="n">
        <v>31.185</v>
      </c>
      <c r="J165" s="59" t="n">
        <v>27.687</v>
      </c>
      <c r="K165" s="59" t="n">
        <v>4.605</v>
      </c>
      <c r="L165" s="59"/>
      <c r="M165" s="59"/>
      <c r="N165" s="59"/>
      <c r="O165" s="61" t="b">
        <f aca="false">TRUE()</f>
        <v>1</v>
      </c>
      <c r="P165" s="59" t="n">
        <v>0.225</v>
      </c>
      <c r="Q165" s="61" t="b">
        <f aca="false">TRUE()</f>
        <v>1</v>
      </c>
      <c r="R165" s="59" t="n">
        <v>1</v>
      </c>
      <c r="S165" s="59" t="n">
        <v>40</v>
      </c>
      <c r="T165" s="59"/>
      <c r="U165" s="59"/>
      <c r="V165" s="59"/>
      <c r="W165" s="59" t="n">
        <v>82.301</v>
      </c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 t="s">
        <v>83</v>
      </c>
      <c r="AI165" s="59" t="s">
        <v>84</v>
      </c>
      <c r="AJ165" s="59" t="s">
        <v>84</v>
      </c>
    </row>
    <row r="166" customFormat="false" ht="15.75" hidden="false" customHeight="false" outlineLevel="0" collapsed="false">
      <c r="A166" s="59" t="n">
        <v>47</v>
      </c>
      <c r="B166" s="59" t="s">
        <v>117</v>
      </c>
      <c r="C166" s="61" t="b">
        <f aca="false">FALSE()</f>
        <v>0</v>
      </c>
      <c r="D166" s="59" t="s">
        <v>9</v>
      </c>
      <c r="E166" s="59" t="s">
        <v>36</v>
      </c>
      <c r="F166" s="59" t="s">
        <v>129</v>
      </c>
      <c r="G166" s="59" t="s">
        <v>81</v>
      </c>
      <c r="H166" s="59" t="s">
        <v>82</v>
      </c>
      <c r="I166" s="59" t="n">
        <v>31.187</v>
      </c>
      <c r="J166" s="59" t="n">
        <v>27.687</v>
      </c>
      <c r="K166" s="59" t="n">
        <v>4.605</v>
      </c>
      <c r="L166" s="59"/>
      <c r="M166" s="59"/>
      <c r="N166" s="59"/>
      <c r="O166" s="61" t="b">
        <f aca="false">TRUE()</f>
        <v>1</v>
      </c>
      <c r="P166" s="59" t="n">
        <v>0.225</v>
      </c>
      <c r="Q166" s="61" t="b">
        <f aca="false">TRUE()</f>
        <v>1</v>
      </c>
      <c r="R166" s="59" t="n">
        <v>1</v>
      </c>
      <c r="S166" s="59" t="n">
        <v>40</v>
      </c>
      <c r="T166" s="59"/>
      <c r="U166" s="59"/>
      <c r="V166" s="59"/>
      <c r="W166" s="59" t="n">
        <v>82.301</v>
      </c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 t="s">
        <v>83</v>
      </c>
      <c r="AI166" s="59" t="s">
        <v>84</v>
      </c>
      <c r="AJ166" s="59" t="s">
        <v>84</v>
      </c>
    </row>
    <row r="167" customFormat="false" ht="15.75" hidden="false" customHeight="false" outlineLevel="0" collapsed="false">
      <c r="A167" s="59" t="n">
        <v>48</v>
      </c>
      <c r="B167" s="59" t="s">
        <v>118</v>
      </c>
      <c r="C167" s="61" t="b">
        <f aca="false">FALSE()</f>
        <v>0</v>
      </c>
      <c r="D167" s="59" t="s">
        <v>10</v>
      </c>
      <c r="E167" s="59" t="s">
        <v>36</v>
      </c>
      <c r="F167" s="59" t="s">
        <v>129</v>
      </c>
      <c r="G167" s="59" t="s">
        <v>81</v>
      </c>
      <c r="H167" s="59" t="s">
        <v>82</v>
      </c>
      <c r="I167" s="59" t="n">
        <v>31.809</v>
      </c>
      <c r="J167" s="59" t="n">
        <v>27.687</v>
      </c>
      <c r="K167" s="59" t="n">
        <v>4.605</v>
      </c>
      <c r="L167" s="59"/>
      <c r="M167" s="59"/>
      <c r="N167" s="59"/>
      <c r="O167" s="61" t="b">
        <f aca="false">TRUE()</f>
        <v>1</v>
      </c>
      <c r="P167" s="59" t="n">
        <v>0.225</v>
      </c>
      <c r="Q167" s="61" t="b">
        <f aca="false">TRUE()</f>
        <v>1</v>
      </c>
      <c r="R167" s="59" t="n">
        <v>1</v>
      </c>
      <c r="S167" s="59" t="n">
        <v>40</v>
      </c>
      <c r="T167" s="59"/>
      <c r="U167" s="59"/>
      <c r="V167" s="59"/>
      <c r="W167" s="59" t="n">
        <v>82.301</v>
      </c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 t="s">
        <v>83</v>
      </c>
      <c r="AI167" s="59" t="s">
        <v>84</v>
      </c>
      <c r="AJ167" s="59" t="s">
        <v>84</v>
      </c>
    </row>
    <row r="168" customFormat="false" ht="15.75" hidden="false" customHeight="false" outlineLevel="0" collapsed="false">
      <c r="A168" s="59" t="n">
        <v>53</v>
      </c>
      <c r="B168" s="59" t="s">
        <v>119</v>
      </c>
      <c r="C168" s="61" t="b">
        <f aca="false">FALSE()</f>
        <v>0</v>
      </c>
      <c r="D168" s="59" t="s">
        <v>11</v>
      </c>
      <c r="E168" s="59" t="s">
        <v>36</v>
      </c>
      <c r="F168" s="59" t="s">
        <v>129</v>
      </c>
      <c r="G168" s="59" t="s">
        <v>81</v>
      </c>
      <c r="H168" s="59" t="s">
        <v>82</v>
      </c>
      <c r="I168" s="59" t="n">
        <v>31.469</v>
      </c>
      <c r="J168" s="59" t="n">
        <v>27.687</v>
      </c>
      <c r="K168" s="59" t="n">
        <v>4.605</v>
      </c>
      <c r="L168" s="59"/>
      <c r="M168" s="59"/>
      <c r="N168" s="59"/>
      <c r="O168" s="61" t="b">
        <f aca="false">TRUE()</f>
        <v>1</v>
      </c>
      <c r="P168" s="59" t="n">
        <v>0.225</v>
      </c>
      <c r="Q168" s="61" t="b">
        <f aca="false">TRUE()</f>
        <v>1</v>
      </c>
      <c r="R168" s="59" t="n">
        <v>1</v>
      </c>
      <c r="S168" s="59" t="n">
        <v>40</v>
      </c>
      <c r="T168" s="59"/>
      <c r="U168" s="59"/>
      <c r="V168" s="59"/>
      <c r="W168" s="59" t="n">
        <v>82.301</v>
      </c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 t="s">
        <v>83</v>
      </c>
      <c r="AI168" s="59" t="s">
        <v>84</v>
      </c>
      <c r="AJ168" s="59" t="s">
        <v>84</v>
      </c>
    </row>
    <row r="169" customFormat="false" ht="15.75" hidden="false" customHeight="false" outlineLevel="0" collapsed="false">
      <c r="A169" s="59" t="n">
        <v>54</v>
      </c>
      <c r="B169" s="59" t="s">
        <v>120</v>
      </c>
      <c r="C169" s="61" t="b">
        <f aca="false">FALSE()</f>
        <v>0</v>
      </c>
      <c r="D169" s="59" t="s">
        <v>23</v>
      </c>
      <c r="E169" s="59" t="s">
        <v>36</v>
      </c>
      <c r="F169" s="59" t="s">
        <v>129</v>
      </c>
      <c r="G169" s="59" t="s">
        <v>81</v>
      </c>
      <c r="H169" s="59" t="s">
        <v>82</v>
      </c>
      <c r="I169" s="59" t="n">
        <v>31.498</v>
      </c>
      <c r="J169" s="59" t="n">
        <v>27.687</v>
      </c>
      <c r="K169" s="59" t="n">
        <v>4.605</v>
      </c>
      <c r="L169" s="59"/>
      <c r="M169" s="59"/>
      <c r="N169" s="59"/>
      <c r="O169" s="61" t="b">
        <f aca="false">TRUE()</f>
        <v>1</v>
      </c>
      <c r="P169" s="59" t="n">
        <v>0.225</v>
      </c>
      <c r="Q169" s="61" t="b">
        <f aca="false">TRUE()</f>
        <v>1</v>
      </c>
      <c r="R169" s="59" t="n">
        <v>1</v>
      </c>
      <c r="S169" s="59" t="n">
        <v>40</v>
      </c>
      <c r="T169" s="59"/>
      <c r="U169" s="59"/>
      <c r="V169" s="59"/>
      <c r="W169" s="59" t="n">
        <v>82.399</v>
      </c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 t="s">
        <v>83</v>
      </c>
      <c r="AI169" s="59" t="s">
        <v>84</v>
      </c>
      <c r="AJ169" s="59" t="s">
        <v>84</v>
      </c>
    </row>
    <row r="170" customFormat="false" ht="15.75" hidden="false" customHeight="false" outlineLevel="0" collapsed="false">
      <c r="A170" s="59" t="n">
        <v>55</v>
      </c>
      <c r="B170" s="59" t="s">
        <v>121</v>
      </c>
      <c r="C170" s="61" t="b">
        <f aca="false">FALSE()</f>
        <v>0</v>
      </c>
      <c r="D170" s="59" t="s">
        <v>24</v>
      </c>
      <c r="E170" s="59" t="s">
        <v>36</v>
      </c>
      <c r="F170" s="59" t="s">
        <v>129</v>
      </c>
      <c r="G170" s="59" t="s">
        <v>81</v>
      </c>
      <c r="H170" s="59" t="s">
        <v>82</v>
      </c>
      <c r="I170" s="59" t="n">
        <v>31.662</v>
      </c>
      <c r="J170" s="59" t="n">
        <v>27.687</v>
      </c>
      <c r="K170" s="59" t="n">
        <v>4.605</v>
      </c>
      <c r="L170" s="59"/>
      <c r="M170" s="59"/>
      <c r="N170" s="59"/>
      <c r="O170" s="61" t="b">
        <f aca="false">TRUE()</f>
        <v>1</v>
      </c>
      <c r="P170" s="59" t="n">
        <v>0.225</v>
      </c>
      <c r="Q170" s="61" t="b">
        <f aca="false">TRUE()</f>
        <v>1</v>
      </c>
      <c r="R170" s="59" t="n">
        <v>1</v>
      </c>
      <c r="S170" s="59" t="n">
        <v>40</v>
      </c>
      <c r="T170" s="59"/>
      <c r="U170" s="59"/>
      <c r="V170" s="59"/>
      <c r="W170" s="59" t="n">
        <v>82.497</v>
      </c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 t="s">
        <v>83</v>
      </c>
      <c r="AI170" s="59" t="s">
        <v>84</v>
      </c>
      <c r="AJ170" s="59" t="s">
        <v>84</v>
      </c>
    </row>
    <row r="171" customFormat="false" ht="15.75" hidden="false" customHeight="false" outlineLevel="0" collapsed="false">
      <c r="A171" s="59" t="n">
        <v>56</v>
      </c>
      <c r="B171" s="59" t="s">
        <v>122</v>
      </c>
      <c r="C171" s="61" t="b">
        <f aca="false">FALSE()</f>
        <v>0</v>
      </c>
      <c r="D171" s="59" t="s">
        <v>25</v>
      </c>
      <c r="E171" s="59" t="s">
        <v>36</v>
      </c>
      <c r="F171" s="59" t="s">
        <v>129</v>
      </c>
      <c r="G171" s="59" t="s">
        <v>81</v>
      </c>
      <c r="H171" s="59" t="s">
        <v>82</v>
      </c>
      <c r="I171" s="59" t="n">
        <v>31.102</v>
      </c>
      <c r="J171" s="59" t="n">
        <v>27.687</v>
      </c>
      <c r="K171" s="59" t="n">
        <v>4.605</v>
      </c>
      <c r="L171" s="59"/>
      <c r="M171" s="59"/>
      <c r="N171" s="59"/>
      <c r="O171" s="61" t="b">
        <f aca="false">TRUE()</f>
        <v>1</v>
      </c>
      <c r="P171" s="59" t="n">
        <v>0.225</v>
      </c>
      <c r="Q171" s="61" t="b">
        <f aca="false">TRUE()</f>
        <v>1</v>
      </c>
      <c r="R171" s="59" t="n">
        <v>1</v>
      </c>
      <c r="S171" s="59" t="n">
        <v>40</v>
      </c>
      <c r="T171" s="59"/>
      <c r="U171" s="59"/>
      <c r="V171" s="59"/>
      <c r="W171" s="59" t="n">
        <v>82.301</v>
      </c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 t="s">
        <v>83</v>
      </c>
      <c r="AI171" s="59" t="s">
        <v>84</v>
      </c>
      <c r="AJ171" s="59" t="s">
        <v>84</v>
      </c>
    </row>
    <row r="172" customFormat="false" ht="15.75" hidden="false" customHeight="false" outlineLevel="0" collapsed="false">
      <c r="A172" s="59" t="n">
        <v>57</v>
      </c>
      <c r="B172" s="59" t="s">
        <v>123</v>
      </c>
      <c r="C172" s="61" t="b">
        <f aca="false">FALSE()</f>
        <v>0</v>
      </c>
      <c r="D172" s="59" t="s">
        <v>26</v>
      </c>
      <c r="E172" s="59" t="s">
        <v>36</v>
      </c>
      <c r="F172" s="59" t="s">
        <v>129</v>
      </c>
      <c r="G172" s="59" t="s">
        <v>81</v>
      </c>
      <c r="H172" s="59" t="s">
        <v>82</v>
      </c>
      <c r="I172" s="59" t="n">
        <v>31.785</v>
      </c>
      <c r="J172" s="59" t="n">
        <v>27.687</v>
      </c>
      <c r="K172" s="59" t="n">
        <v>4.605</v>
      </c>
      <c r="L172" s="59"/>
      <c r="M172" s="59"/>
      <c r="N172" s="59"/>
      <c r="O172" s="61" t="b">
        <f aca="false">TRUE()</f>
        <v>1</v>
      </c>
      <c r="P172" s="59" t="n">
        <v>0.225</v>
      </c>
      <c r="Q172" s="61" t="b">
        <f aca="false">TRUE()</f>
        <v>1</v>
      </c>
      <c r="R172" s="59" t="n">
        <v>1</v>
      </c>
      <c r="S172" s="59" t="n">
        <v>40</v>
      </c>
      <c r="T172" s="59"/>
      <c r="U172" s="59"/>
      <c r="V172" s="59"/>
      <c r="W172" s="59" t="n">
        <v>82.301</v>
      </c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 t="s">
        <v>83</v>
      </c>
      <c r="AI172" s="59" t="s">
        <v>84</v>
      </c>
      <c r="AJ172" s="59" t="s">
        <v>84</v>
      </c>
    </row>
    <row r="173" customFormat="false" ht="15.75" hidden="false" customHeight="false" outlineLevel="0" collapsed="false">
      <c r="A173" s="59" t="n">
        <v>58</v>
      </c>
      <c r="B173" s="59" t="s">
        <v>124</v>
      </c>
      <c r="C173" s="61" t="b">
        <f aca="false">FALSE()</f>
        <v>0</v>
      </c>
      <c r="D173" s="59" t="s">
        <v>27</v>
      </c>
      <c r="E173" s="59" t="s">
        <v>36</v>
      </c>
      <c r="F173" s="59" t="s">
        <v>129</v>
      </c>
      <c r="G173" s="59" t="s">
        <v>81</v>
      </c>
      <c r="H173" s="59" t="s">
        <v>82</v>
      </c>
      <c r="I173" s="59" t="n">
        <v>30.372</v>
      </c>
      <c r="J173" s="59" t="n">
        <v>27.687</v>
      </c>
      <c r="K173" s="59" t="n">
        <v>4.605</v>
      </c>
      <c r="L173" s="59"/>
      <c r="M173" s="59"/>
      <c r="N173" s="59"/>
      <c r="O173" s="61" t="b">
        <f aca="false">TRUE()</f>
        <v>1</v>
      </c>
      <c r="P173" s="59" t="n">
        <v>0.225</v>
      </c>
      <c r="Q173" s="61" t="b">
        <f aca="false">TRUE()</f>
        <v>1</v>
      </c>
      <c r="R173" s="59" t="n">
        <v>1</v>
      </c>
      <c r="S173" s="59" t="n">
        <v>40</v>
      </c>
      <c r="T173" s="59"/>
      <c r="U173" s="59"/>
      <c r="V173" s="59"/>
      <c r="W173" s="59" t="n">
        <v>82.399</v>
      </c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 t="s">
        <v>83</v>
      </c>
      <c r="AI173" s="59" t="s">
        <v>84</v>
      </c>
      <c r="AJ173" s="59" t="s">
        <v>84</v>
      </c>
    </row>
    <row r="174" customFormat="false" ht="15.75" hidden="false" customHeight="false" outlineLevel="0" collapsed="false">
      <c r="A174" s="59" t="n">
        <v>59</v>
      </c>
      <c r="B174" s="59" t="s">
        <v>125</v>
      </c>
      <c r="C174" s="61" t="b">
        <f aca="false">FALSE()</f>
        <v>0</v>
      </c>
      <c r="D174" s="59" t="s">
        <v>28</v>
      </c>
      <c r="E174" s="59" t="s">
        <v>36</v>
      </c>
      <c r="F174" s="59" t="s">
        <v>129</v>
      </c>
      <c r="G174" s="59" t="s">
        <v>81</v>
      </c>
      <c r="H174" s="59" t="s">
        <v>82</v>
      </c>
      <c r="I174" s="59" t="n">
        <v>31.289</v>
      </c>
      <c r="J174" s="59" t="n">
        <v>27.687</v>
      </c>
      <c r="K174" s="59" t="n">
        <v>4.605</v>
      </c>
      <c r="L174" s="59"/>
      <c r="M174" s="59"/>
      <c r="N174" s="59"/>
      <c r="O174" s="61" t="b">
        <f aca="false">TRUE()</f>
        <v>1</v>
      </c>
      <c r="P174" s="59" t="n">
        <v>0.225</v>
      </c>
      <c r="Q174" s="61" t="b">
        <f aca="false">TRUE()</f>
        <v>1</v>
      </c>
      <c r="R174" s="59" t="n">
        <v>1</v>
      </c>
      <c r="S174" s="59" t="n">
        <v>40</v>
      </c>
      <c r="T174" s="59"/>
      <c r="U174" s="59"/>
      <c r="V174" s="59"/>
      <c r="W174" s="59" t="n">
        <v>82.301</v>
      </c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 t="s">
        <v>83</v>
      </c>
      <c r="AI174" s="59" t="s">
        <v>84</v>
      </c>
      <c r="AJ174" s="59" t="s">
        <v>84</v>
      </c>
    </row>
    <row r="175" customFormat="false" ht="15.75" hidden="false" customHeight="false" outlineLevel="0" collapsed="false">
      <c r="A175" s="59" t="n">
        <v>60</v>
      </c>
      <c r="B175" s="59" t="s">
        <v>126</v>
      </c>
      <c r="C175" s="61" t="b">
        <f aca="false">FALSE()</f>
        <v>0</v>
      </c>
      <c r="D175" s="59" t="s">
        <v>29</v>
      </c>
      <c r="E175" s="59" t="s">
        <v>36</v>
      </c>
      <c r="F175" s="59" t="s">
        <v>129</v>
      </c>
      <c r="G175" s="59" t="s">
        <v>81</v>
      </c>
      <c r="H175" s="59" t="s">
        <v>82</v>
      </c>
      <c r="I175" s="59" t="n">
        <v>33.594</v>
      </c>
      <c r="J175" s="59" t="n">
        <v>27.687</v>
      </c>
      <c r="K175" s="59" t="n">
        <v>4.605</v>
      </c>
      <c r="L175" s="59"/>
      <c r="M175" s="59"/>
      <c r="N175" s="59"/>
      <c r="O175" s="61" t="b">
        <f aca="false">TRUE()</f>
        <v>1</v>
      </c>
      <c r="P175" s="59" t="n">
        <v>0.225</v>
      </c>
      <c r="Q175" s="61" t="b">
        <f aca="false">TRUE()</f>
        <v>1</v>
      </c>
      <c r="R175" s="59" t="n">
        <v>1</v>
      </c>
      <c r="S175" s="59" t="n">
        <v>40</v>
      </c>
      <c r="T175" s="59"/>
      <c r="U175" s="59"/>
      <c r="V175" s="59"/>
      <c r="W175" s="59" t="n">
        <v>82.204</v>
      </c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 t="s">
        <v>83</v>
      </c>
      <c r="AI175" s="59" t="s">
        <v>84</v>
      </c>
      <c r="AJ175" s="59" t="s">
        <v>84</v>
      </c>
    </row>
    <row r="176" customFormat="false" ht="15.75" hidden="false" customHeight="false" outlineLevel="0" collapsed="false">
      <c r="A176" s="59" t="n">
        <v>65</v>
      </c>
      <c r="B176" s="59" t="s">
        <v>127</v>
      </c>
      <c r="C176" s="61" t="b">
        <f aca="false">FALSE()</f>
        <v>0</v>
      </c>
      <c r="D176" s="59" t="s">
        <v>30</v>
      </c>
      <c r="E176" s="59" t="s">
        <v>36</v>
      </c>
      <c r="F176" s="59" t="s">
        <v>129</v>
      </c>
      <c r="G176" s="59" t="s">
        <v>81</v>
      </c>
      <c r="H176" s="59" t="s">
        <v>82</v>
      </c>
      <c r="I176" s="59" t="n">
        <v>31.86</v>
      </c>
      <c r="J176" s="59" t="n">
        <v>27.687</v>
      </c>
      <c r="K176" s="59" t="n">
        <v>4.605</v>
      </c>
      <c r="L176" s="59"/>
      <c r="M176" s="59"/>
      <c r="N176" s="59"/>
      <c r="O176" s="61" t="b">
        <f aca="false">TRUE()</f>
        <v>1</v>
      </c>
      <c r="P176" s="59" t="n">
        <v>0.225</v>
      </c>
      <c r="Q176" s="61" t="b">
        <f aca="false">TRUE()</f>
        <v>1</v>
      </c>
      <c r="R176" s="59" t="n">
        <v>1</v>
      </c>
      <c r="S176" s="59" t="n">
        <v>40</v>
      </c>
      <c r="T176" s="59"/>
      <c r="U176" s="59"/>
      <c r="V176" s="59"/>
      <c r="W176" s="59" t="n">
        <v>82.399</v>
      </c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 t="s">
        <v>83</v>
      </c>
      <c r="AI176" s="59" t="s">
        <v>84</v>
      </c>
      <c r="AJ176" s="59" t="s">
        <v>84</v>
      </c>
    </row>
    <row r="177" customFormat="false" ht="15.75" hidden="false" customHeight="false" outlineLevel="0" collapsed="false">
      <c r="A177" s="59" t="n">
        <v>66</v>
      </c>
      <c r="B177" s="59" t="s">
        <v>128</v>
      </c>
      <c r="C177" s="61" t="b">
        <f aca="false">FALSE()</f>
        <v>0</v>
      </c>
      <c r="D177" s="59" t="s">
        <v>31</v>
      </c>
      <c r="E177" s="59" t="s">
        <v>36</v>
      </c>
      <c r="F177" s="59" t="s">
        <v>129</v>
      </c>
      <c r="G177" s="59" t="s">
        <v>81</v>
      </c>
      <c r="H177" s="59" t="s">
        <v>82</v>
      </c>
      <c r="I177" s="59" t="n">
        <v>32.264</v>
      </c>
      <c r="J177" s="59" t="n">
        <v>27.687</v>
      </c>
      <c r="K177" s="59" t="n">
        <v>4.605</v>
      </c>
      <c r="L177" s="59"/>
      <c r="M177" s="59"/>
      <c r="N177" s="59"/>
      <c r="O177" s="61" t="b">
        <f aca="false">TRUE()</f>
        <v>1</v>
      </c>
      <c r="P177" s="59" t="n">
        <v>0.225</v>
      </c>
      <c r="Q177" s="61" t="b">
        <f aca="false">TRUE()</f>
        <v>1</v>
      </c>
      <c r="R177" s="59" t="n">
        <v>1</v>
      </c>
      <c r="S177" s="59" t="n">
        <v>40</v>
      </c>
      <c r="T177" s="59"/>
      <c r="U177" s="59"/>
      <c r="V177" s="59"/>
      <c r="W177" s="59" t="n">
        <v>82.399</v>
      </c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 t="s">
        <v>83</v>
      </c>
      <c r="AI177" s="59" t="s">
        <v>84</v>
      </c>
      <c r="AJ177" s="59" t="s">
        <v>84</v>
      </c>
    </row>
    <row r="178" customFormat="false" ht="15.75" hidden="false" customHeight="false" outlineLevel="0" collapsed="false">
      <c r="A178" s="59" t="n">
        <v>1</v>
      </c>
      <c r="B178" s="59" t="s">
        <v>80</v>
      </c>
      <c r="C178" s="61" t="b">
        <f aca="false">FALSE()</f>
        <v>0</v>
      </c>
      <c r="D178" s="59" t="n">
        <v>100</v>
      </c>
      <c r="E178" s="59" t="s">
        <v>39</v>
      </c>
      <c r="F178" s="59" t="s">
        <v>81</v>
      </c>
      <c r="G178" s="59" t="s">
        <v>82</v>
      </c>
      <c r="H178" s="59" t="n">
        <v>18.982</v>
      </c>
      <c r="I178" s="59" t="n">
        <v>23.954</v>
      </c>
      <c r="J178" s="59" t="n">
        <v>3.969</v>
      </c>
      <c r="K178" s="59"/>
      <c r="L178" s="59"/>
      <c r="M178" s="59"/>
      <c r="N178" s="61" t="b">
        <f aca="false">TRUE()</f>
        <v>1</v>
      </c>
      <c r="O178" s="59" t="n">
        <v>0.31</v>
      </c>
      <c r="P178" s="61" t="b">
        <f aca="false">TRUE()</f>
        <v>1</v>
      </c>
      <c r="Q178" s="59" t="n">
        <v>1</v>
      </c>
      <c r="R178" s="59" t="n">
        <v>40</v>
      </c>
      <c r="S178" s="59"/>
      <c r="T178" s="59"/>
      <c r="U178" s="59"/>
      <c r="V178" s="59" t="n">
        <v>84.742</v>
      </c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 t="s">
        <v>83</v>
      </c>
    </row>
    <row r="179" customFormat="false" ht="15.75" hidden="false" customHeight="false" outlineLevel="0" collapsed="false">
      <c r="A179" s="59" t="n">
        <v>2</v>
      </c>
      <c r="B179" s="59" t="s">
        <v>85</v>
      </c>
      <c r="C179" s="61" t="b">
        <f aca="false">FALSE()</f>
        <v>0</v>
      </c>
      <c r="D179" s="59" t="n">
        <v>10</v>
      </c>
      <c r="E179" s="59" t="s">
        <v>39</v>
      </c>
      <c r="F179" s="59" t="s">
        <v>81</v>
      </c>
      <c r="G179" s="59" t="s">
        <v>82</v>
      </c>
      <c r="H179" s="59" t="n">
        <v>22.236</v>
      </c>
      <c r="I179" s="59" t="n">
        <v>23.954</v>
      </c>
      <c r="J179" s="59" t="n">
        <v>3.969</v>
      </c>
      <c r="K179" s="59"/>
      <c r="L179" s="59"/>
      <c r="M179" s="59"/>
      <c r="N179" s="61" t="b">
        <f aca="false">TRUE()</f>
        <v>1</v>
      </c>
      <c r="O179" s="59" t="n">
        <v>0.31</v>
      </c>
      <c r="P179" s="61" t="b">
        <f aca="false">TRUE()</f>
        <v>1</v>
      </c>
      <c r="Q179" s="59" t="n">
        <v>1</v>
      </c>
      <c r="R179" s="59" t="n">
        <v>40</v>
      </c>
      <c r="S179" s="59"/>
      <c r="T179" s="59"/>
      <c r="U179" s="59"/>
      <c r="V179" s="59" t="n">
        <v>84.449</v>
      </c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 t="s">
        <v>83</v>
      </c>
    </row>
    <row r="180" customFormat="false" ht="15.75" hidden="false" customHeight="false" outlineLevel="0" collapsed="false">
      <c r="A180" s="59" t="n">
        <v>3</v>
      </c>
      <c r="B180" s="59" t="s">
        <v>86</v>
      </c>
      <c r="C180" s="61" t="b">
        <f aca="false">FALSE()</f>
        <v>0</v>
      </c>
      <c r="D180" s="59" t="n">
        <v>1</v>
      </c>
      <c r="E180" s="59" t="s">
        <v>39</v>
      </c>
      <c r="F180" s="59" t="s">
        <v>81</v>
      </c>
      <c r="G180" s="59" t="s">
        <v>82</v>
      </c>
      <c r="H180" s="59" t="n">
        <v>25.674</v>
      </c>
      <c r="I180" s="59" t="n">
        <v>23.954</v>
      </c>
      <c r="J180" s="59" t="n">
        <v>3.969</v>
      </c>
      <c r="K180" s="59"/>
      <c r="L180" s="59"/>
      <c r="M180" s="59"/>
      <c r="N180" s="61" t="b">
        <f aca="false">TRUE()</f>
        <v>1</v>
      </c>
      <c r="O180" s="59" t="n">
        <v>0.31</v>
      </c>
      <c r="P180" s="61" t="b">
        <f aca="false">TRUE()</f>
        <v>1</v>
      </c>
      <c r="Q180" s="59" t="n">
        <v>1</v>
      </c>
      <c r="R180" s="59" t="n">
        <v>40</v>
      </c>
      <c r="S180" s="59"/>
      <c r="T180" s="59"/>
      <c r="U180" s="59"/>
      <c r="V180" s="59" t="n">
        <v>84.449</v>
      </c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 t="s">
        <v>83</v>
      </c>
    </row>
    <row r="181" customFormat="false" ht="15.75" hidden="false" customHeight="false" outlineLevel="0" collapsed="false">
      <c r="A181" s="59" t="n">
        <v>4</v>
      </c>
      <c r="B181" s="59" t="s">
        <v>87</v>
      </c>
      <c r="C181" s="61" t="b">
        <f aca="false">FALSE()</f>
        <v>0</v>
      </c>
      <c r="D181" s="59" t="n">
        <v>0.1</v>
      </c>
      <c r="E181" s="59" t="s">
        <v>39</v>
      </c>
      <c r="F181" s="59" t="s">
        <v>81</v>
      </c>
      <c r="G181" s="59" t="s">
        <v>82</v>
      </c>
      <c r="H181" s="59" t="n">
        <v>28.841</v>
      </c>
      <c r="I181" s="59" t="n">
        <v>23.954</v>
      </c>
      <c r="J181" s="59" t="n">
        <v>3.969</v>
      </c>
      <c r="K181" s="59"/>
      <c r="L181" s="59"/>
      <c r="M181" s="59"/>
      <c r="N181" s="61" t="b">
        <f aca="false">TRUE()</f>
        <v>1</v>
      </c>
      <c r="O181" s="59" t="n">
        <v>0.31</v>
      </c>
      <c r="P181" s="61" t="b">
        <f aca="false">TRUE()</f>
        <v>1</v>
      </c>
      <c r="Q181" s="59" t="n">
        <v>1</v>
      </c>
      <c r="R181" s="59" t="n">
        <v>40</v>
      </c>
      <c r="S181" s="59"/>
      <c r="T181" s="59"/>
      <c r="U181" s="59"/>
      <c r="V181" s="59" t="n">
        <v>84.449</v>
      </c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 t="s">
        <v>83</v>
      </c>
    </row>
    <row r="182" customFormat="false" ht="15.75" hidden="false" customHeight="false" outlineLevel="0" collapsed="false">
      <c r="A182" s="59" t="n">
        <v>5</v>
      </c>
      <c r="B182" s="59" t="s">
        <v>89</v>
      </c>
      <c r="C182" s="61" t="b">
        <f aca="false">FALSE()</f>
        <v>0</v>
      </c>
      <c r="D182" s="59" t="s">
        <v>3</v>
      </c>
      <c r="E182" s="59" t="s">
        <v>39</v>
      </c>
      <c r="F182" s="59" t="s">
        <v>81</v>
      </c>
      <c r="G182" s="59" t="s">
        <v>82</v>
      </c>
      <c r="H182" s="59" t="n">
        <v>19.567</v>
      </c>
      <c r="I182" s="59" t="n">
        <v>23.954</v>
      </c>
      <c r="J182" s="59" t="n">
        <v>3.969</v>
      </c>
      <c r="K182" s="59"/>
      <c r="L182" s="59"/>
      <c r="M182" s="59"/>
      <c r="N182" s="61" t="b">
        <f aca="false">TRUE()</f>
        <v>1</v>
      </c>
      <c r="O182" s="59" t="n">
        <v>0.31</v>
      </c>
      <c r="P182" s="61" t="b">
        <f aca="false">TRUE()</f>
        <v>1</v>
      </c>
      <c r="Q182" s="59" t="n">
        <v>1</v>
      </c>
      <c r="R182" s="59" t="n">
        <v>40</v>
      </c>
      <c r="S182" s="59"/>
      <c r="T182" s="59"/>
      <c r="U182" s="59"/>
      <c r="V182" s="59" t="n">
        <v>84.644</v>
      </c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 t="s">
        <v>83</v>
      </c>
    </row>
    <row r="183" customFormat="false" ht="15.75" hidden="false" customHeight="false" outlineLevel="0" collapsed="false">
      <c r="A183" s="59" t="n">
        <v>6</v>
      </c>
      <c r="B183" s="59" t="s">
        <v>90</v>
      </c>
      <c r="C183" s="61" t="b">
        <f aca="false">FALSE()</f>
        <v>0</v>
      </c>
      <c r="D183" s="59" t="s">
        <v>4</v>
      </c>
      <c r="E183" s="59" t="s">
        <v>39</v>
      </c>
      <c r="F183" s="59" t="s">
        <v>81</v>
      </c>
      <c r="G183" s="59" t="s">
        <v>82</v>
      </c>
      <c r="H183" s="59" t="n">
        <v>20.192</v>
      </c>
      <c r="I183" s="59" t="n">
        <v>23.954</v>
      </c>
      <c r="J183" s="59" t="n">
        <v>3.969</v>
      </c>
      <c r="K183" s="59"/>
      <c r="L183" s="59"/>
      <c r="M183" s="59"/>
      <c r="N183" s="61" t="b">
        <f aca="false">TRUE()</f>
        <v>1</v>
      </c>
      <c r="O183" s="59" t="n">
        <v>0.31</v>
      </c>
      <c r="P183" s="61" t="b">
        <f aca="false">TRUE()</f>
        <v>1</v>
      </c>
      <c r="Q183" s="59" t="n">
        <v>1</v>
      </c>
      <c r="R183" s="59" t="n">
        <v>40</v>
      </c>
      <c r="S183" s="59"/>
      <c r="T183" s="59"/>
      <c r="U183" s="59"/>
      <c r="V183" s="59" t="n">
        <v>84.742</v>
      </c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 t="s">
        <v>83</v>
      </c>
    </row>
    <row r="184" customFormat="false" ht="15.75" hidden="false" customHeight="false" outlineLevel="0" collapsed="false">
      <c r="A184" s="59" t="n">
        <v>7</v>
      </c>
      <c r="B184" s="59" t="s">
        <v>91</v>
      </c>
      <c r="C184" s="61" t="b">
        <f aca="false">FALSE()</f>
        <v>0</v>
      </c>
      <c r="D184" s="59" t="s">
        <v>5</v>
      </c>
      <c r="E184" s="59" t="s">
        <v>39</v>
      </c>
      <c r="F184" s="59" t="s">
        <v>81</v>
      </c>
      <c r="G184" s="59" t="s">
        <v>82</v>
      </c>
      <c r="H184" s="59" t="n">
        <v>19.47</v>
      </c>
      <c r="I184" s="59" t="n">
        <v>23.954</v>
      </c>
      <c r="J184" s="59" t="n">
        <v>3.969</v>
      </c>
      <c r="K184" s="59"/>
      <c r="L184" s="59"/>
      <c r="M184" s="59"/>
      <c r="N184" s="61" t="b">
        <f aca="false">TRUE()</f>
        <v>1</v>
      </c>
      <c r="O184" s="59" t="n">
        <v>0.31</v>
      </c>
      <c r="P184" s="61" t="b">
        <f aca="false">TRUE()</f>
        <v>1</v>
      </c>
      <c r="Q184" s="59" t="n">
        <v>1</v>
      </c>
      <c r="R184" s="59" t="n">
        <v>40</v>
      </c>
      <c r="S184" s="59"/>
      <c r="T184" s="59"/>
      <c r="U184" s="59"/>
      <c r="V184" s="59" t="n">
        <v>84.742</v>
      </c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 t="s">
        <v>83</v>
      </c>
    </row>
    <row r="185" customFormat="false" ht="15.75" hidden="false" customHeight="false" outlineLevel="0" collapsed="false">
      <c r="A185" s="59" t="n">
        <v>8</v>
      </c>
      <c r="B185" s="59" t="s">
        <v>92</v>
      </c>
      <c r="C185" s="61" t="b">
        <f aca="false">FALSE()</f>
        <v>0</v>
      </c>
      <c r="D185" s="59" t="s">
        <v>6</v>
      </c>
      <c r="E185" s="59" t="s">
        <v>39</v>
      </c>
      <c r="F185" s="59" t="s">
        <v>81</v>
      </c>
      <c r="G185" s="59" t="s">
        <v>82</v>
      </c>
      <c r="H185" s="59" t="n">
        <v>20.363</v>
      </c>
      <c r="I185" s="59" t="n">
        <v>23.954</v>
      </c>
      <c r="J185" s="59" t="n">
        <v>3.969</v>
      </c>
      <c r="K185" s="59"/>
      <c r="L185" s="59"/>
      <c r="M185" s="59"/>
      <c r="N185" s="61" t="b">
        <f aca="false">TRUE()</f>
        <v>1</v>
      </c>
      <c r="O185" s="59" t="n">
        <v>0.31</v>
      </c>
      <c r="P185" s="61" t="b">
        <f aca="false">TRUE()</f>
        <v>1</v>
      </c>
      <c r="Q185" s="59" t="n">
        <v>1</v>
      </c>
      <c r="R185" s="59" t="n">
        <v>40</v>
      </c>
      <c r="S185" s="59"/>
      <c r="T185" s="59"/>
      <c r="U185" s="59"/>
      <c r="V185" s="59" t="n">
        <v>84.644</v>
      </c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 t="s">
        <v>83</v>
      </c>
    </row>
    <row r="186" customFormat="false" ht="15.75" hidden="false" customHeight="false" outlineLevel="0" collapsed="false">
      <c r="A186" s="59" t="n">
        <v>9</v>
      </c>
      <c r="B186" s="59" t="s">
        <v>93</v>
      </c>
      <c r="C186" s="61" t="b">
        <f aca="false">FALSE()</f>
        <v>0</v>
      </c>
      <c r="D186" s="59" t="s">
        <v>7</v>
      </c>
      <c r="E186" s="59" t="s">
        <v>39</v>
      </c>
      <c r="F186" s="59" t="s">
        <v>81</v>
      </c>
      <c r="G186" s="59" t="s">
        <v>82</v>
      </c>
      <c r="H186" s="59" t="n">
        <v>20.287</v>
      </c>
      <c r="I186" s="59" t="n">
        <v>23.954</v>
      </c>
      <c r="J186" s="59" t="n">
        <v>3.969</v>
      </c>
      <c r="K186" s="59"/>
      <c r="L186" s="59"/>
      <c r="M186" s="59"/>
      <c r="N186" s="61" t="b">
        <f aca="false">TRUE()</f>
        <v>1</v>
      </c>
      <c r="O186" s="59" t="n">
        <v>0.31</v>
      </c>
      <c r="P186" s="61" t="b">
        <f aca="false">TRUE()</f>
        <v>1</v>
      </c>
      <c r="Q186" s="59" t="n">
        <v>1</v>
      </c>
      <c r="R186" s="59" t="n">
        <v>40</v>
      </c>
      <c r="S186" s="59"/>
      <c r="T186" s="59"/>
      <c r="U186" s="59"/>
      <c r="V186" s="59" t="n">
        <v>84.644</v>
      </c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 t="s">
        <v>83</v>
      </c>
    </row>
    <row r="187" customFormat="false" ht="15.75" hidden="false" customHeight="false" outlineLevel="0" collapsed="false">
      <c r="A187" s="59" t="n">
        <v>10</v>
      </c>
      <c r="B187" s="59" t="s">
        <v>94</v>
      </c>
      <c r="C187" s="61" t="b">
        <f aca="false">FALSE()</f>
        <v>0</v>
      </c>
      <c r="D187" s="59" t="s">
        <v>8</v>
      </c>
      <c r="E187" s="59" t="s">
        <v>39</v>
      </c>
      <c r="F187" s="59" t="s">
        <v>81</v>
      </c>
      <c r="G187" s="59" t="s">
        <v>82</v>
      </c>
      <c r="H187" s="59" t="n">
        <v>19.306</v>
      </c>
      <c r="I187" s="59" t="n">
        <v>23.954</v>
      </c>
      <c r="J187" s="59" t="n">
        <v>3.969</v>
      </c>
      <c r="K187" s="59"/>
      <c r="L187" s="59"/>
      <c r="M187" s="59"/>
      <c r="N187" s="61" t="b">
        <f aca="false">TRUE()</f>
        <v>1</v>
      </c>
      <c r="O187" s="59" t="n">
        <v>0.31</v>
      </c>
      <c r="P187" s="61" t="b">
        <f aca="false">TRUE()</f>
        <v>1</v>
      </c>
      <c r="Q187" s="59" t="n">
        <v>1</v>
      </c>
      <c r="R187" s="59" t="n">
        <v>40</v>
      </c>
      <c r="S187" s="59"/>
      <c r="T187" s="59"/>
      <c r="U187" s="59"/>
      <c r="V187" s="59" t="n">
        <v>84.547</v>
      </c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 t="s">
        <v>83</v>
      </c>
    </row>
    <row r="188" customFormat="false" ht="15.75" hidden="false" customHeight="false" outlineLevel="0" collapsed="false">
      <c r="A188" s="59" t="n">
        <v>11</v>
      </c>
      <c r="B188" s="59" t="s">
        <v>95</v>
      </c>
      <c r="C188" s="61" t="b">
        <f aca="false">FALSE()</f>
        <v>0</v>
      </c>
      <c r="D188" s="59" t="s">
        <v>9</v>
      </c>
      <c r="E188" s="59" t="s">
        <v>39</v>
      </c>
      <c r="F188" s="59" t="s">
        <v>81</v>
      </c>
      <c r="G188" s="59" t="s">
        <v>82</v>
      </c>
      <c r="H188" s="59" t="n">
        <v>19.689</v>
      </c>
      <c r="I188" s="59" t="n">
        <v>23.954</v>
      </c>
      <c r="J188" s="59" t="n">
        <v>3.969</v>
      </c>
      <c r="K188" s="59"/>
      <c r="L188" s="59"/>
      <c r="M188" s="59"/>
      <c r="N188" s="61" t="b">
        <f aca="false">TRUE()</f>
        <v>1</v>
      </c>
      <c r="O188" s="59" t="n">
        <v>0.31</v>
      </c>
      <c r="P188" s="61" t="b">
        <f aca="false">TRUE()</f>
        <v>1</v>
      </c>
      <c r="Q188" s="59" t="n">
        <v>1</v>
      </c>
      <c r="R188" s="59" t="n">
        <v>40</v>
      </c>
      <c r="S188" s="59"/>
      <c r="T188" s="59"/>
      <c r="U188" s="59"/>
      <c r="V188" s="59" t="n">
        <v>84.547</v>
      </c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 t="s">
        <v>83</v>
      </c>
    </row>
    <row r="189" customFormat="false" ht="15.75" hidden="false" customHeight="false" outlineLevel="0" collapsed="false">
      <c r="A189" s="59" t="n">
        <v>12</v>
      </c>
      <c r="B189" s="59" t="s">
        <v>96</v>
      </c>
      <c r="C189" s="61" t="b">
        <f aca="false">FALSE()</f>
        <v>0</v>
      </c>
      <c r="D189" s="59" t="s">
        <v>10</v>
      </c>
      <c r="E189" s="59" t="s">
        <v>39</v>
      </c>
      <c r="F189" s="59" t="s">
        <v>81</v>
      </c>
      <c r="G189" s="59" t="s">
        <v>82</v>
      </c>
      <c r="H189" s="59" t="n">
        <v>20.081</v>
      </c>
      <c r="I189" s="59" t="n">
        <v>23.954</v>
      </c>
      <c r="J189" s="59" t="n">
        <v>3.969</v>
      </c>
      <c r="K189" s="59"/>
      <c r="L189" s="59"/>
      <c r="M189" s="59"/>
      <c r="N189" s="61" t="b">
        <f aca="false">TRUE()</f>
        <v>1</v>
      </c>
      <c r="O189" s="59" t="n">
        <v>0.31</v>
      </c>
      <c r="P189" s="61" t="b">
        <f aca="false">TRUE()</f>
        <v>1</v>
      </c>
      <c r="Q189" s="59" t="n">
        <v>1</v>
      </c>
      <c r="R189" s="59" t="n">
        <v>40</v>
      </c>
      <c r="S189" s="59"/>
      <c r="T189" s="59"/>
      <c r="U189" s="59"/>
      <c r="V189" s="59" t="n">
        <v>84.547</v>
      </c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 t="s">
        <v>83</v>
      </c>
    </row>
    <row r="190" customFormat="false" ht="15.75" hidden="false" customHeight="false" outlineLevel="0" collapsed="false">
      <c r="A190" s="59" t="n">
        <v>17</v>
      </c>
      <c r="B190" s="59" t="s">
        <v>97</v>
      </c>
      <c r="C190" s="61" t="b">
        <f aca="false">FALSE()</f>
        <v>0</v>
      </c>
      <c r="D190" s="59" t="s">
        <v>11</v>
      </c>
      <c r="E190" s="59" t="s">
        <v>39</v>
      </c>
      <c r="F190" s="59" t="s">
        <v>81</v>
      </c>
      <c r="G190" s="59" t="s">
        <v>82</v>
      </c>
      <c r="H190" s="59" t="n">
        <v>19.758</v>
      </c>
      <c r="I190" s="59" t="n">
        <v>23.954</v>
      </c>
      <c r="J190" s="59" t="n">
        <v>3.969</v>
      </c>
      <c r="K190" s="59"/>
      <c r="L190" s="59"/>
      <c r="M190" s="59"/>
      <c r="N190" s="61" t="b">
        <f aca="false">TRUE()</f>
        <v>1</v>
      </c>
      <c r="O190" s="59" t="n">
        <v>0.31</v>
      </c>
      <c r="P190" s="61" t="b">
        <f aca="false">TRUE()</f>
        <v>1</v>
      </c>
      <c r="Q190" s="59" t="n">
        <v>1</v>
      </c>
      <c r="R190" s="59" t="n">
        <v>40</v>
      </c>
      <c r="S190" s="59"/>
      <c r="T190" s="59"/>
      <c r="U190" s="59"/>
      <c r="V190" s="59" t="n">
        <v>84.547</v>
      </c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 t="s">
        <v>83</v>
      </c>
    </row>
    <row r="191" customFormat="false" ht="15.75" hidden="false" customHeight="false" outlineLevel="0" collapsed="false">
      <c r="A191" s="59" t="n">
        <v>18</v>
      </c>
      <c r="B191" s="59" t="s">
        <v>98</v>
      </c>
      <c r="C191" s="61" t="b">
        <f aca="false">FALSE()</f>
        <v>0</v>
      </c>
      <c r="D191" s="59" t="s">
        <v>23</v>
      </c>
      <c r="E191" s="59" t="s">
        <v>39</v>
      </c>
      <c r="F191" s="59" t="s">
        <v>81</v>
      </c>
      <c r="G191" s="59" t="s">
        <v>82</v>
      </c>
      <c r="H191" s="59" t="n">
        <v>20.131</v>
      </c>
      <c r="I191" s="59" t="n">
        <v>23.954</v>
      </c>
      <c r="J191" s="59" t="n">
        <v>3.969</v>
      </c>
      <c r="K191" s="59"/>
      <c r="L191" s="59"/>
      <c r="M191" s="59"/>
      <c r="N191" s="61" t="b">
        <f aca="false">TRUE()</f>
        <v>1</v>
      </c>
      <c r="O191" s="59" t="n">
        <v>0.31</v>
      </c>
      <c r="P191" s="61" t="b">
        <f aca="false">TRUE()</f>
        <v>1</v>
      </c>
      <c r="Q191" s="59" t="n">
        <v>1</v>
      </c>
      <c r="R191" s="59" t="n">
        <v>40</v>
      </c>
      <c r="S191" s="59"/>
      <c r="T191" s="59"/>
      <c r="U191" s="59"/>
      <c r="V191" s="59" t="n">
        <v>84.644</v>
      </c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 t="s">
        <v>83</v>
      </c>
    </row>
    <row r="192" customFormat="false" ht="15.75" hidden="false" customHeight="false" outlineLevel="0" collapsed="false">
      <c r="A192" s="59" t="n">
        <v>19</v>
      </c>
      <c r="B192" s="59" t="s">
        <v>99</v>
      </c>
      <c r="C192" s="61" t="b">
        <f aca="false">FALSE()</f>
        <v>0</v>
      </c>
      <c r="D192" s="59" t="s">
        <v>24</v>
      </c>
      <c r="E192" s="59" t="s">
        <v>39</v>
      </c>
      <c r="F192" s="59" t="s">
        <v>81</v>
      </c>
      <c r="G192" s="59" t="s">
        <v>82</v>
      </c>
      <c r="H192" s="59" t="n">
        <v>20.695</v>
      </c>
      <c r="I192" s="59" t="n">
        <v>23.954</v>
      </c>
      <c r="J192" s="59" t="n">
        <v>3.969</v>
      </c>
      <c r="K192" s="59"/>
      <c r="L192" s="59"/>
      <c r="M192" s="59"/>
      <c r="N192" s="61" t="b">
        <f aca="false">TRUE()</f>
        <v>1</v>
      </c>
      <c r="O192" s="59" t="n">
        <v>0.31</v>
      </c>
      <c r="P192" s="61" t="b">
        <f aca="false">TRUE()</f>
        <v>1</v>
      </c>
      <c r="Q192" s="59" t="n">
        <v>1</v>
      </c>
      <c r="R192" s="59" t="n">
        <v>40</v>
      </c>
      <c r="S192" s="59"/>
      <c r="T192" s="59"/>
      <c r="U192" s="59"/>
      <c r="V192" s="59" t="n">
        <v>84.742</v>
      </c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 t="s">
        <v>83</v>
      </c>
    </row>
    <row r="193" customFormat="false" ht="15.75" hidden="false" customHeight="false" outlineLevel="0" collapsed="false">
      <c r="A193" s="59" t="n">
        <v>20</v>
      </c>
      <c r="B193" s="59" t="s">
        <v>100</v>
      </c>
      <c r="C193" s="61" t="b">
        <f aca="false">FALSE()</f>
        <v>0</v>
      </c>
      <c r="D193" s="59" t="s">
        <v>25</v>
      </c>
      <c r="E193" s="59" t="s">
        <v>39</v>
      </c>
      <c r="F193" s="59" t="s">
        <v>81</v>
      </c>
      <c r="G193" s="59" t="s">
        <v>82</v>
      </c>
      <c r="H193" s="59" t="n">
        <v>20.785</v>
      </c>
      <c r="I193" s="59" t="n">
        <v>23.954</v>
      </c>
      <c r="J193" s="59" t="n">
        <v>3.969</v>
      </c>
      <c r="K193" s="59"/>
      <c r="L193" s="59"/>
      <c r="M193" s="59"/>
      <c r="N193" s="61" t="b">
        <f aca="false">TRUE()</f>
        <v>1</v>
      </c>
      <c r="O193" s="59" t="n">
        <v>0.31</v>
      </c>
      <c r="P193" s="61" t="b">
        <f aca="false">TRUE()</f>
        <v>1</v>
      </c>
      <c r="Q193" s="59" t="n">
        <v>1</v>
      </c>
      <c r="R193" s="59" t="n">
        <v>40</v>
      </c>
      <c r="S193" s="59"/>
      <c r="T193" s="59"/>
      <c r="U193" s="59"/>
      <c r="V193" s="59" t="n">
        <v>84.644</v>
      </c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 t="s">
        <v>83</v>
      </c>
    </row>
    <row r="194" customFormat="false" ht="15.75" hidden="false" customHeight="false" outlineLevel="0" collapsed="false">
      <c r="A194" s="59" t="n">
        <v>21</v>
      </c>
      <c r="B194" s="59" t="s">
        <v>101</v>
      </c>
      <c r="C194" s="61" t="b">
        <f aca="false">FALSE()</f>
        <v>0</v>
      </c>
      <c r="D194" s="59" t="s">
        <v>26</v>
      </c>
      <c r="E194" s="59" t="s">
        <v>39</v>
      </c>
      <c r="F194" s="59" t="s">
        <v>81</v>
      </c>
      <c r="G194" s="59" t="s">
        <v>82</v>
      </c>
      <c r="H194" s="59" t="n">
        <v>20.016</v>
      </c>
      <c r="I194" s="59" t="n">
        <v>23.954</v>
      </c>
      <c r="J194" s="59" t="n">
        <v>3.969</v>
      </c>
      <c r="K194" s="59"/>
      <c r="L194" s="59"/>
      <c r="M194" s="59"/>
      <c r="N194" s="61" t="b">
        <f aca="false">TRUE()</f>
        <v>1</v>
      </c>
      <c r="O194" s="59" t="n">
        <v>0.31</v>
      </c>
      <c r="P194" s="61" t="b">
        <f aca="false">TRUE()</f>
        <v>1</v>
      </c>
      <c r="Q194" s="59" t="n">
        <v>1</v>
      </c>
      <c r="R194" s="59" t="n">
        <v>40</v>
      </c>
      <c r="S194" s="59"/>
      <c r="T194" s="59"/>
      <c r="U194" s="59"/>
      <c r="V194" s="59" t="n">
        <v>84.644</v>
      </c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 t="s">
        <v>83</v>
      </c>
    </row>
    <row r="195" customFormat="false" ht="15.75" hidden="false" customHeight="false" outlineLevel="0" collapsed="false">
      <c r="A195" s="59" t="n">
        <v>22</v>
      </c>
      <c r="B195" s="59" t="s">
        <v>102</v>
      </c>
      <c r="C195" s="61" t="b">
        <f aca="false">FALSE()</f>
        <v>0</v>
      </c>
      <c r="D195" s="59" t="s">
        <v>27</v>
      </c>
      <c r="E195" s="59" t="s">
        <v>39</v>
      </c>
      <c r="F195" s="59" t="s">
        <v>81</v>
      </c>
      <c r="G195" s="59" t="s">
        <v>82</v>
      </c>
      <c r="H195" s="59" t="n">
        <v>19.222</v>
      </c>
      <c r="I195" s="59" t="n">
        <v>23.954</v>
      </c>
      <c r="J195" s="59" t="n">
        <v>3.969</v>
      </c>
      <c r="K195" s="59"/>
      <c r="L195" s="59"/>
      <c r="M195" s="59"/>
      <c r="N195" s="61" t="b">
        <f aca="false">TRUE()</f>
        <v>1</v>
      </c>
      <c r="O195" s="59" t="n">
        <v>0.31</v>
      </c>
      <c r="P195" s="61" t="b">
        <f aca="false">TRUE()</f>
        <v>1</v>
      </c>
      <c r="Q195" s="59" t="n">
        <v>1</v>
      </c>
      <c r="R195" s="59" t="n">
        <v>40</v>
      </c>
      <c r="S195" s="59"/>
      <c r="T195" s="59"/>
      <c r="U195" s="59"/>
      <c r="V195" s="59" t="n">
        <v>84.644</v>
      </c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 t="s">
        <v>83</v>
      </c>
    </row>
    <row r="196" customFormat="false" ht="15.75" hidden="false" customHeight="false" outlineLevel="0" collapsed="false">
      <c r="A196" s="59" t="n">
        <v>23</v>
      </c>
      <c r="B196" s="59" t="s">
        <v>103</v>
      </c>
      <c r="C196" s="61" t="b">
        <f aca="false">FALSE()</f>
        <v>0</v>
      </c>
      <c r="D196" s="59" t="s">
        <v>28</v>
      </c>
      <c r="E196" s="59" t="s">
        <v>39</v>
      </c>
      <c r="F196" s="59" t="s">
        <v>81</v>
      </c>
      <c r="G196" s="59" t="s">
        <v>82</v>
      </c>
      <c r="H196" s="59" t="n">
        <v>20.385</v>
      </c>
      <c r="I196" s="59" t="n">
        <v>23.954</v>
      </c>
      <c r="J196" s="59" t="n">
        <v>3.969</v>
      </c>
      <c r="K196" s="59"/>
      <c r="L196" s="59"/>
      <c r="M196" s="59"/>
      <c r="N196" s="61" t="b">
        <f aca="false">TRUE()</f>
        <v>1</v>
      </c>
      <c r="O196" s="59" t="n">
        <v>0.31</v>
      </c>
      <c r="P196" s="61" t="b">
        <f aca="false">TRUE()</f>
        <v>1</v>
      </c>
      <c r="Q196" s="59" t="n">
        <v>1</v>
      </c>
      <c r="R196" s="59" t="n">
        <v>40</v>
      </c>
      <c r="S196" s="59"/>
      <c r="T196" s="59"/>
      <c r="U196" s="59"/>
      <c r="V196" s="59" t="n">
        <v>84.547</v>
      </c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 t="s">
        <v>83</v>
      </c>
    </row>
    <row r="197" customFormat="false" ht="15.75" hidden="false" customHeight="false" outlineLevel="0" collapsed="false">
      <c r="A197" s="59" t="n">
        <v>24</v>
      </c>
      <c r="B197" s="59" t="s">
        <v>104</v>
      </c>
      <c r="C197" s="61" t="b">
        <f aca="false">FALSE()</f>
        <v>0</v>
      </c>
      <c r="D197" s="59" t="s">
        <v>29</v>
      </c>
      <c r="E197" s="59" t="s">
        <v>39</v>
      </c>
      <c r="F197" s="59" t="s">
        <v>81</v>
      </c>
      <c r="G197" s="59" t="s">
        <v>82</v>
      </c>
      <c r="H197" s="59" t="n">
        <v>19.538</v>
      </c>
      <c r="I197" s="59" t="n">
        <v>23.954</v>
      </c>
      <c r="J197" s="59" t="n">
        <v>3.969</v>
      </c>
      <c r="K197" s="59"/>
      <c r="L197" s="59"/>
      <c r="M197" s="59"/>
      <c r="N197" s="61" t="b">
        <f aca="false">TRUE()</f>
        <v>1</v>
      </c>
      <c r="O197" s="59" t="n">
        <v>0.31</v>
      </c>
      <c r="P197" s="61" t="b">
        <f aca="false">TRUE()</f>
        <v>1</v>
      </c>
      <c r="Q197" s="59" t="n">
        <v>1</v>
      </c>
      <c r="R197" s="59" t="n">
        <v>40</v>
      </c>
      <c r="S197" s="59"/>
      <c r="T197" s="59"/>
      <c r="U197" s="59"/>
      <c r="V197" s="59" t="n">
        <v>84.547</v>
      </c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 t="s">
        <v>83</v>
      </c>
    </row>
    <row r="198" customFormat="false" ht="15.75" hidden="false" customHeight="false" outlineLevel="0" collapsed="false">
      <c r="A198" s="59" t="n">
        <v>29</v>
      </c>
      <c r="B198" s="59" t="s">
        <v>105</v>
      </c>
      <c r="C198" s="61" t="b">
        <f aca="false">FALSE()</f>
        <v>0</v>
      </c>
      <c r="D198" s="59" t="s">
        <v>30</v>
      </c>
      <c r="E198" s="59" t="s">
        <v>39</v>
      </c>
      <c r="F198" s="59" t="s">
        <v>81</v>
      </c>
      <c r="G198" s="59" t="s">
        <v>82</v>
      </c>
      <c r="H198" s="59" t="n">
        <v>19.911</v>
      </c>
      <c r="I198" s="59" t="n">
        <v>23.954</v>
      </c>
      <c r="J198" s="59" t="n">
        <v>3.969</v>
      </c>
      <c r="K198" s="59"/>
      <c r="L198" s="59"/>
      <c r="M198" s="59"/>
      <c r="N198" s="61" t="b">
        <f aca="false">TRUE()</f>
        <v>1</v>
      </c>
      <c r="O198" s="59" t="n">
        <v>0.31</v>
      </c>
      <c r="P198" s="61" t="b">
        <f aca="false">TRUE()</f>
        <v>1</v>
      </c>
      <c r="Q198" s="59" t="n">
        <v>1</v>
      </c>
      <c r="R198" s="59" t="n">
        <v>40</v>
      </c>
      <c r="S198" s="59"/>
      <c r="T198" s="59"/>
      <c r="U198" s="59"/>
      <c r="V198" s="59" t="n">
        <v>84.644</v>
      </c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 t="s">
        <v>83</v>
      </c>
    </row>
    <row r="199" customFormat="false" ht="15.75" hidden="false" customHeight="false" outlineLevel="0" collapsed="false">
      <c r="A199" s="59" t="n">
        <v>30</v>
      </c>
      <c r="B199" s="59" t="s">
        <v>106</v>
      </c>
      <c r="C199" s="61" t="b">
        <f aca="false">FALSE()</f>
        <v>0</v>
      </c>
      <c r="D199" s="59" t="s">
        <v>31</v>
      </c>
      <c r="E199" s="59" t="s">
        <v>39</v>
      </c>
      <c r="F199" s="59" t="s">
        <v>81</v>
      </c>
      <c r="G199" s="59" t="s">
        <v>82</v>
      </c>
      <c r="H199" s="59" t="n">
        <v>20.931</v>
      </c>
      <c r="I199" s="59" t="n">
        <v>23.954</v>
      </c>
      <c r="J199" s="59" t="n">
        <v>3.969</v>
      </c>
      <c r="K199" s="59"/>
      <c r="L199" s="59"/>
      <c r="M199" s="59"/>
      <c r="N199" s="61" t="b">
        <f aca="false">TRUE()</f>
        <v>1</v>
      </c>
      <c r="O199" s="59" t="n">
        <v>0.31</v>
      </c>
      <c r="P199" s="61" t="b">
        <f aca="false">TRUE()</f>
        <v>1</v>
      </c>
      <c r="Q199" s="59" t="n">
        <v>1</v>
      </c>
      <c r="R199" s="59" t="n">
        <v>40</v>
      </c>
      <c r="S199" s="59"/>
      <c r="T199" s="59"/>
      <c r="U199" s="59"/>
      <c r="V199" s="59" t="n">
        <v>84.644</v>
      </c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 t="s">
        <v>83</v>
      </c>
    </row>
    <row r="200" customFormat="false" ht="15.75" hidden="false" customHeight="false" outlineLevel="0" collapsed="false">
      <c r="A200" s="59" t="n">
        <v>37</v>
      </c>
      <c r="B200" s="59" t="s">
        <v>107</v>
      </c>
      <c r="C200" s="61" t="b">
        <f aca="false">FALSE()</f>
        <v>0</v>
      </c>
      <c r="D200" s="59" t="n">
        <v>100</v>
      </c>
      <c r="E200" s="59" t="s">
        <v>40</v>
      </c>
      <c r="F200" s="59" t="s">
        <v>81</v>
      </c>
      <c r="G200" s="59" t="s">
        <v>82</v>
      </c>
      <c r="H200" s="59" t="n">
        <v>26.243</v>
      </c>
      <c r="I200" s="59" t="n">
        <v>23.954</v>
      </c>
      <c r="J200" s="59" t="n">
        <v>3.969</v>
      </c>
      <c r="K200" s="59"/>
      <c r="L200" s="59"/>
      <c r="M200" s="59"/>
      <c r="N200" s="61" t="b">
        <f aca="false">TRUE()</f>
        <v>1</v>
      </c>
      <c r="O200" s="59" t="n">
        <v>0.31</v>
      </c>
      <c r="P200" s="61" t="b">
        <f aca="false">TRUE()</f>
        <v>1</v>
      </c>
      <c r="Q200" s="59" t="n">
        <v>1</v>
      </c>
      <c r="R200" s="59" t="n">
        <v>40</v>
      </c>
      <c r="S200" s="59"/>
      <c r="T200" s="59"/>
      <c r="U200" s="59"/>
      <c r="V200" s="59" t="n">
        <v>86.889</v>
      </c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 t="s">
        <v>83</v>
      </c>
    </row>
    <row r="201" customFormat="false" ht="15.75" hidden="false" customHeight="false" outlineLevel="0" collapsed="false">
      <c r="A201" s="59" t="n">
        <v>38</v>
      </c>
      <c r="B201" s="59" t="s">
        <v>108</v>
      </c>
      <c r="C201" s="61" t="b">
        <f aca="false">FALSE()</f>
        <v>0</v>
      </c>
      <c r="D201" s="59" t="n">
        <v>10</v>
      </c>
      <c r="E201" s="59" t="s">
        <v>40</v>
      </c>
      <c r="F201" s="59" t="s">
        <v>81</v>
      </c>
      <c r="G201" s="59" t="s">
        <v>82</v>
      </c>
      <c r="H201" s="59" t="n">
        <v>28.18</v>
      </c>
      <c r="I201" s="59" t="n">
        <v>23.954</v>
      </c>
      <c r="J201" s="59" t="n">
        <v>3.969</v>
      </c>
      <c r="K201" s="59"/>
      <c r="L201" s="59"/>
      <c r="M201" s="59"/>
      <c r="N201" s="61" t="b">
        <f aca="false">TRUE()</f>
        <v>1</v>
      </c>
      <c r="O201" s="59" t="n">
        <v>0.31</v>
      </c>
      <c r="P201" s="61" t="b">
        <f aca="false">TRUE()</f>
        <v>1</v>
      </c>
      <c r="Q201" s="59" t="n">
        <v>1</v>
      </c>
      <c r="R201" s="59" t="n">
        <v>40</v>
      </c>
      <c r="S201" s="59"/>
      <c r="T201" s="59"/>
      <c r="U201" s="59"/>
      <c r="V201" s="59" t="n">
        <v>86.499</v>
      </c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 t="s">
        <v>83</v>
      </c>
    </row>
    <row r="202" customFormat="false" ht="15.75" hidden="false" customHeight="false" outlineLevel="0" collapsed="false">
      <c r="A202" s="59" t="n">
        <v>39</v>
      </c>
      <c r="B202" s="59" t="s">
        <v>109</v>
      </c>
      <c r="C202" s="61" t="b">
        <f aca="false">FALSE()</f>
        <v>0</v>
      </c>
      <c r="D202" s="59" t="n">
        <v>1</v>
      </c>
      <c r="E202" s="59" t="s">
        <v>40</v>
      </c>
      <c r="F202" s="59" t="s">
        <v>81</v>
      </c>
      <c r="G202" s="59" t="s">
        <v>82</v>
      </c>
      <c r="H202" s="59" t="n">
        <v>31.688</v>
      </c>
      <c r="I202" s="59" t="n">
        <v>23.954</v>
      </c>
      <c r="J202" s="59" t="n">
        <v>3.969</v>
      </c>
      <c r="K202" s="59"/>
      <c r="L202" s="59"/>
      <c r="M202" s="59"/>
      <c r="N202" s="61" t="b">
        <f aca="false">TRUE()</f>
        <v>1</v>
      </c>
      <c r="O202" s="59" t="n">
        <v>0.31</v>
      </c>
      <c r="P202" s="61" t="b">
        <f aca="false">TRUE()</f>
        <v>1</v>
      </c>
      <c r="Q202" s="59" t="n">
        <v>1</v>
      </c>
      <c r="R202" s="59" t="n">
        <v>40</v>
      </c>
      <c r="S202" s="59"/>
      <c r="T202" s="59"/>
      <c r="U202" s="59"/>
      <c r="V202" s="59" t="n">
        <v>86.401</v>
      </c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 t="s">
        <v>83</v>
      </c>
    </row>
    <row r="203" customFormat="false" ht="15.75" hidden="false" customHeight="false" outlineLevel="0" collapsed="false">
      <c r="A203" s="59" t="n">
        <v>40</v>
      </c>
      <c r="B203" s="59" t="s">
        <v>110</v>
      </c>
      <c r="C203" s="61" t="b">
        <f aca="false">FALSE()</f>
        <v>0</v>
      </c>
      <c r="D203" s="59" t="n">
        <v>0.1</v>
      </c>
      <c r="E203" s="59" t="s">
        <v>40</v>
      </c>
      <c r="F203" s="59" t="s">
        <v>81</v>
      </c>
      <c r="G203" s="59" t="s">
        <v>82</v>
      </c>
      <c r="H203" s="59" t="n">
        <v>35.582</v>
      </c>
      <c r="I203" s="59" t="n">
        <v>23.954</v>
      </c>
      <c r="J203" s="59" t="n">
        <v>3.969</v>
      </c>
      <c r="K203" s="59"/>
      <c r="L203" s="59"/>
      <c r="M203" s="59"/>
      <c r="N203" s="61" t="b">
        <f aca="false">TRUE()</f>
        <v>1</v>
      </c>
      <c r="O203" s="59" t="n">
        <v>0.31</v>
      </c>
      <c r="P203" s="61" t="b">
        <f aca="false">TRUE()</f>
        <v>1</v>
      </c>
      <c r="Q203" s="59" t="n">
        <v>1</v>
      </c>
      <c r="R203" s="59" t="n">
        <v>40</v>
      </c>
      <c r="S203" s="59"/>
      <c r="T203" s="59"/>
      <c r="U203" s="59"/>
      <c r="V203" s="59" t="n">
        <v>86.304</v>
      </c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 t="s">
        <v>83</v>
      </c>
    </row>
    <row r="204" customFormat="false" ht="15.75" hidden="false" customHeight="false" outlineLevel="0" collapsed="false">
      <c r="A204" s="59" t="n">
        <v>41</v>
      </c>
      <c r="B204" s="59" t="s">
        <v>111</v>
      </c>
      <c r="C204" s="61" t="b">
        <f aca="false">FALSE()</f>
        <v>0</v>
      </c>
      <c r="D204" s="59" t="s">
        <v>3</v>
      </c>
      <c r="E204" s="59" t="s">
        <v>40</v>
      </c>
      <c r="F204" s="59" t="s">
        <v>81</v>
      </c>
      <c r="G204" s="59" t="s">
        <v>82</v>
      </c>
      <c r="H204" s="59" t="n">
        <v>26.548</v>
      </c>
      <c r="I204" s="59" t="n">
        <v>23.954</v>
      </c>
      <c r="J204" s="59" t="n">
        <v>3.969</v>
      </c>
      <c r="K204" s="59"/>
      <c r="L204" s="59"/>
      <c r="M204" s="59"/>
      <c r="N204" s="61" t="b">
        <f aca="false">TRUE()</f>
        <v>1</v>
      </c>
      <c r="O204" s="59" t="n">
        <v>0.31</v>
      </c>
      <c r="P204" s="61" t="b">
        <f aca="false">TRUE()</f>
        <v>1</v>
      </c>
      <c r="Q204" s="59" t="n">
        <v>1</v>
      </c>
      <c r="R204" s="59" t="n">
        <v>40</v>
      </c>
      <c r="S204" s="59"/>
      <c r="T204" s="59"/>
      <c r="U204" s="59"/>
      <c r="V204" s="59" t="n">
        <v>86.499</v>
      </c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 t="s">
        <v>83</v>
      </c>
    </row>
    <row r="205" customFormat="false" ht="15.75" hidden="false" customHeight="false" outlineLevel="0" collapsed="false">
      <c r="A205" s="59" t="n">
        <v>42</v>
      </c>
      <c r="B205" s="59" t="s">
        <v>112</v>
      </c>
      <c r="C205" s="61" t="b">
        <f aca="false">FALSE()</f>
        <v>0</v>
      </c>
      <c r="D205" s="59" t="s">
        <v>4</v>
      </c>
      <c r="E205" s="59" t="s">
        <v>40</v>
      </c>
      <c r="F205" s="59" t="s">
        <v>81</v>
      </c>
      <c r="G205" s="59" t="s">
        <v>82</v>
      </c>
      <c r="H205" s="59" t="n">
        <v>25.731</v>
      </c>
      <c r="I205" s="59" t="n">
        <v>23.954</v>
      </c>
      <c r="J205" s="59" t="n">
        <v>3.969</v>
      </c>
      <c r="K205" s="59"/>
      <c r="L205" s="59"/>
      <c r="M205" s="59"/>
      <c r="N205" s="61" t="b">
        <f aca="false">TRUE()</f>
        <v>1</v>
      </c>
      <c r="O205" s="59" t="n">
        <v>0.31</v>
      </c>
      <c r="P205" s="61" t="b">
        <f aca="false">TRUE()</f>
        <v>1</v>
      </c>
      <c r="Q205" s="59" t="n">
        <v>1</v>
      </c>
      <c r="R205" s="59" t="n">
        <v>40</v>
      </c>
      <c r="S205" s="59"/>
      <c r="T205" s="59"/>
      <c r="U205" s="59"/>
      <c r="V205" s="59" t="n">
        <v>86.499</v>
      </c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 t="s">
        <v>83</v>
      </c>
    </row>
    <row r="206" customFormat="false" ht="15.75" hidden="false" customHeight="false" outlineLevel="0" collapsed="false">
      <c r="A206" s="59" t="n">
        <v>43</v>
      </c>
      <c r="B206" s="59" t="s">
        <v>113</v>
      </c>
      <c r="C206" s="61" t="b">
        <f aca="false">FALSE()</f>
        <v>0</v>
      </c>
      <c r="D206" s="59" t="s">
        <v>5</v>
      </c>
      <c r="E206" s="59" t="s">
        <v>40</v>
      </c>
      <c r="F206" s="59" t="s">
        <v>81</v>
      </c>
      <c r="G206" s="59" t="s">
        <v>82</v>
      </c>
      <c r="H206" s="59" t="n">
        <v>26.35</v>
      </c>
      <c r="I206" s="59" t="n">
        <v>23.954</v>
      </c>
      <c r="J206" s="59" t="n">
        <v>3.969</v>
      </c>
      <c r="K206" s="59"/>
      <c r="L206" s="59"/>
      <c r="M206" s="59"/>
      <c r="N206" s="61" t="b">
        <f aca="false">TRUE()</f>
        <v>1</v>
      </c>
      <c r="O206" s="59" t="n">
        <v>0.31</v>
      </c>
      <c r="P206" s="61" t="b">
        <f aca="false">TRUE()</f>
        <v>1</v>
      </c>
      <c r="Q206" s="59" t="n">
        <v>1</v>
      </c>
      <c r="R206" s="59" t="n">
        <v>40</v>
      </c>
      <c r="S206" s="59"/>
      <c r="T206" s="59"/>
      <c r="U206" s="59"/>
      <c r="V206" s="59" t="n">
        <v>86.499</v>
      </c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 t="s">
        <v>83</v>
      </c>
    </row>
    <row r="207" customFormat="false" ht="15.75" hidden="false" customHeight="false" outlineLevel="0" collapsed="false">
      <c r="A207" s="59" t="n">
        <v>44</v>
      </c>
      <c r="B207" s="59" t="s">
        <v>114</v>
      </c>
      <c r="C207" s="61" t="b">
        <f aca="false">FALSE()</f>
        <v>0</v>
      </c>
      <c r="D207" s="59" t="s">
        <v>6</v>
      </c>
      <c r="E207" s="59" t="s">
        <v>40</v>
      </c>
      <c r="F207" s="59" t="s">
        <v>81</v>
      </c>
      <c r="G207" s="59" t="s">
        <v>82</v>
      </c>
      <c r="H207" s="59" t="n">
        <v>26.992</v>
      </c>
      <c r="I207" s="59" t="n">
        <v>23.954</v>
      </c>
      <c r="J207" s="59" t="n">
        <v>3.969</v>
      </c>
      <c r="K207" s="59"/>
      <c r="L207" s="59"/>
      <c r="M207" s="59"/>
      <c r="N207" s="61" t="b">
        <f aca="false">TRUE()</f>
        <v>1</v>
      </c>
      <c r="O207" s="59" t="n">
        <v>0.31</v>
      </c>
      <c r="P207" s="61" t="b">
        <f aca="false">TRUE()</f>
        <v>1</v>
      </c>
      <c r="Q207" s="59" t="n">
        <v>1</v>
      </c>
      <c r="R207" s="59" t="n">
        <v>40</v>
      </c>
      <c r="S207" s="59"/>
      <c r="T207" s="59"/>
      <c r="U207" s="59"/>
      <c r="V207" s="59" t="n">
        <v>86.499</v>
      </c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 t="s">
        <v>83</v>
      </c>
    </row>
    <row r="208" customFormat="false" ht="15.75" hidden="false" customHeight="false" outlineLevel="0" collapsed="false">
      <c r="A208" s="59" t="n">
        <v>45</v>
      </c>
      <c r="B208" s="59" t="s">
        <v>115</v>
      </c>
      <c r="C208" s="61" t="b">
        <f aca="false">FALSE()</f>
        <v>0</v>
      </c>
      <c r="D208" s="59" t="s">
        <v>7</v>
      </c>
      <c r="E208" s="59" t="s">
        <v>40</v>
      </c>
      <c r="F208" s="59" t="s">
        <v>81</v>
      </c>
      <c r="G208" s="59" t="s">
        <v>82</v>
      </c>
      <c r="H208" s="59" t="n">
        <v>28.454</v>
      </c>
      <c r="I208" s="59" t="n">
        <v>23.954</v>
      </c>
      <c r="J208" s="59" t="n">
        <v>3.969</v>
      </c>
      <c r="K208" s="59"/>
      <c r="L208" s="59"/>
      <c r="M208" s="59"/>
      <c r="N208" s="61" t="b">
        <f aca="false">TRUE()</f>
        <v>1</v>
      </c>
      <c r="O208" s="59" t="n">
        <v>0.31</v>
      </c>
      <c r="P208" s="61" t="b">
        <f aca="false">TRUE()</f>
        <v>1</v>
      </c>
      <c r="Q208" s="59" t="n">
        <v>1</v>
      </c>
      <c r="R208" s="59" t="n">
        <v>40</v>
      </c>
      <c r="S208" s="59"/>
      <c r="T208" s="59"/>
      <c r="U208" s="59"/>
      <c r="V208" s="59" t="n">
        <v>86.499</v>
      </c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 t="s">
        <v>83</v>
      </c>
    </row>
    <row r="209" customFormat="false" ht="15.75" hidden="false" customHeight="false" outlineLevel="0" collapsed="false">
      <c r="A209" s="59" t="n">
        <v>46</v>
      </c>
      <c r="B209" s="59" t="s">
        <v>116</v>
      </c>
      <c r="C209" s="61" t="b">
        <f aca="false">FALSE()</f>
        <v>0</v>
      </c>
      <c r="D209" s="59" t="s">
        <v>8</v>
      </c>
      <c r="E209" s="59" t="s">
        <v>40</v>
      </c>
      <c r="F209" s="59" t="s">
        <v>81</v>
      </c>
      <c r="G209" s="59" t="s">
        <v>82</v>
      </c>
      <c r="H209" s="59" t="n">
        <v>25.956</v>
      </c>
      <c r="I209" s="59" t="n">
        <v>23.954</v>
      </c>
      <c r="J209" s="59" t="n">
        <v>3.969</v>
      </c>
      <c r="K209" s="59"/>
      <c r="L209" s="59"/>
      <c r="M209" s="59"/>
      <c r="N209" s="61" t="b">
        <f aca="false">TRUE()</f>
        <v>1</v>
      </c>
      <c r="O209" s="59" t="n">
        <v>0.31</v>
      </c>
      <c r="P209" s="61" t="b">
        <f aca="false">TRUE()</f>
        <v>1</v>
      </c>
      <c r="Q209" s="59" t="n">
        <v>1</v>
      </c>
      <c r="R209" s="59" t="n">
        <v>40</v>
      </c>
      <c r="S209" s="59"/>
      <c r="T209" s="59"/>
      <c r="U209" s="59"/>
      <c r="V209" s="59" t="n">
        <v>86.499</v>
      </c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 t="s">
        <v>83</v>
      </c>
    </row>
    <row r="210" customFormat="false" ht="15.75" hidden="false" customHeight="false" outlineLevel="0" collapsed="false">
      <c r="A210" s="59" t="n">
        <v>47</v>
      </c>
      <c r="B210" s="59" t="s">
        <v>117</v>
      </c>
      <c r="C210" s="61" t="b">
        <f aca="false">FALSE()</f>
        <v>0</v>
      </c>
      <c r="D210" s="59" t="s">
        <v>9</v>
      </c>
      <c r="E210" s="59" t="s">
        <v>40</v>
      </c>
      <c r="F210" s="59" t="s">
        <v>81</v>
      </c>
      <c r="G210" s="59" t="s">
        <v>82</v>
      </c>
      <c r="H210" s="59" t="n">
        <v>26.24</v>
      </c>
      <c r="I210" s="59" t="n">
        <v>23.954</v>
      </c>
      <c r="J210" s="59" t="n">
        <v>3.969</v>
      </c>
      <c r="K210" s="59"/>
      <c r="L210" s="59"/>
      <c r="M210" s="59"/>
      <c r="N210" s="61" t="b">
        <f aca="false">TRUE()</f>
        <v>1</v>
      </c>
      <c r="O210" s="59" t="n">
        <v>0.31</v>
      </c>
      <c r="P210" s="61" t="b">
        <f aca="false">TRUE()</f>
        <v>1</v>
      </c>
      <c r="Q210" s="59" t="n">
        <v>1</v>
      </c>
      <c r="R210" s="59" t="n">
        <v>40</v>
      </c>
      <c r="S210" s="59"/>
      <c r="T210" s="59"/>
      <c r="U210" s="59"/>
      <c r="V210" s="59" t="n">
        <v>86.499</v>
      </c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 t="s">
        <v>83</v>
      </c>
    </row>
    <row r="211" customFormat="false" ht="15.75" hidden="false" customHeight="false" outlineLevel="0" collapsed="false">
      <c r="A211" s="59" t="n">
        <v>48</v>
      </c>
      <c r="B211" s="59" t="s">
        <v>118</v>
      </c>
      <c r="C211" s="61" t="b">
        <f aca="false">FALSE()</f>
        <v>0</v>
      </c>
      <c r="D211" s="59" t="s">
        <v>10</v>
      </c>
      <c r="E211" s="59" t="s">
        <v>40</v>
      </c>
      <c r="F211" s="59" t="s">
        <v>81</v>
      </c>
      <c r="G211" s="59" t="s">
        <v>82</v>
      </c>
      <c r="H211" s="59" t="n">
        <v>26.442</v>
      </c>
      <c r="I211" s="59" t="n">
        <v>23.954</v>
      </c>
      <c r="J211" s="59" t="n">
        <v>3.969</v>
      </c>
      <c r="K211" s="59"/>
      <c r="L211" s="59"/>
      <c r="M211" s="59"/>
      <c r="N211" s="61" t="b">
        <f aca="false">TRUE()</f>
        <v>1</v>
      </c>
      <c r="O211" s="59" t="n">
        <v>0.31</v>
      </c>
      <c r="P211" s="61" t="b">
        <f aca="false">TRUE()</f>
        <v>1</v>
      </c>
      <c r="Q211" s="59" t="n">
        <v>1</v>
      </c>
      <c r="R211" s="59" t="n">
        <v>40</v>
      </c>
      <c r="S211" s="59"/>
      <c r="T211" s="59"/>
      <c r="U211" s="59"/>
      <c r="V211" s="59" t="n">
        <v>86.499</v>
      </c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 t="s">
        <v>83</v>
      </c>
    </row>
    <row r="212" customFormat="false" ht="15.75" hidden="false" customHeight="false" outlineLevel="0" collapsed="false">
      <c r="A212" s="59" t="n">
        <v>53</v>
      </c>
      <c r="B212" s="59" t="s">
        <v>119</v>
      </c>
      <c r="C212" s="61" t="b">
        <f aca="false">FALSE()</f>
        <v>0</v>
      </c>
      <c r="D212" s="59" t="s">
        <v>11</v>
      </c>
      <c r="E212" s="59" t="s">
        <v>40</v>
      </c>
      <c r="F212" s="59" t="s">
        <v>81</v>
      </c>
      <c r="G212" s="59" t="s">
        <v>82</v>
      </c>
      <c r="H212" s="59" t="n">
        <v>25.826</v>
      </c>
      <c r="I212" s="59" t="n">
        <v>23.954</v>
      </c>
      <c r="J212" s="59" t="n">
        <v>3.969</v>
      </c>
      <c r="K212" s="59"/>
      <c r="L212" s="59"/>
      <c r="M212" s="59"/>
      <c r="N212" s="61" t="b">
        <f aca="false">TRUE()</f>
        <v>1</v>
      </c>
      <c r="O212" s="59" t="n">
        <v>0.31</v>
      </c>
      <c r="P212" s="61" t="b">
        <f aca="false">TRUE()</f>
        <v>1</v>
      </c>
      <c r="Q212" s="59" t="n">
        <v>1</v>
      </c>
      <c r="R212" s="59" t="n">
        <v>40</v>
      </c>
      <c r="S212" s="59"/>
      <c r="T212" s="59"/>
      <c r="U212" s="59"/>
      <c r="V212" s="59" t="n">
        <v>86.499</v>
      </c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 t="s">
        <v>83</v>
      </c>
    </row>
    <row r="213" customFormat="false" ht="15.75" hidden="false" customHeight="false" outlineLevel="0" collapsed="false">
      <c r="A213" s="59" t="n">
        <v>54</v>
      </c>
      <c r="B213" s="59" t="s">
        <v>120</v>
      </c>
      <c r="C213" s="61" t="b">
        <f aca="false">FALSE()</f>
        <v>0</v>
      </c>
      <c r="D213" s="59" t="s">
        <v>23</v>
      </c>
      <c r="E213" s="59" t="s">
        <v>40</v>
      </c>
      <c r="F213" s="59" t="s">
        <v>81</v>
      </c>
      <c r="G213" s="59" t="s">
        <v>82</v>
      </c>
      <c r="H213" s="59" t="n">
        <v>25.989</v>
      </c>
      <c r="I213" s="59" t="n">
        <v>23.954</v>
      </c>
      <c r="J213" s="59" t="n">
        <v>3.969</v>
      </c>
      <c r="K213" s="59"/>
      <c r="L213" s="59"/>
      <c r="M213" s="59"/>
      <c r="N213" s="61" t="b">
        <f aca="false">TRUE()</f>
        <v>1</v>
      </c>
      <c r="O213" s="59" t="n">
        <v>0.31</v>
      </c>
      <c r="P213" s="61" t="b">
        <f aca="false">TRUE()</f>
        <v>1</v>
      </c>
      <c r="Q213" s="59" t="n">
        <v>1</v>
      </c>
      <c r="R213" s="59" t="n">
        <v>40</v>
      </c>
      <c r="S213" s="59"/>
      <c r="T213" s="59"/>
      <c r="U213" s="59"/>
      <c r="V213" s="59" t="n">
        <v>86.596</v>
      </c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 t="s">
        <v>83</v>
      </c>
    </row>
    <row r="214" customFormat="false" ht="15.75" hidden="false" customHeight="false" outlineLevel="0" collapsed="false">
      <c r="A214" s="59" t="n">
        <v>55</v>
      </c>
      <c r="B214" s="59" t="s">
        <v>121</v>
      </c>
      <c r="C214" s="61" t="b">
        <f aca="false">FALSE()</f>
        <v>0</v>
      </c>
      <c r="D214" s="59" t="s">
        <v>24</v>
      </c>
      <c r="E214" s="59" t="s">
        <v>40</v>
      </c>
      <c r="F214" s="59" t="s">
        <v>81</v>
      </c>
      <c r="G214" s="59" t="s">
        <v>82</v>
      </c>
      <c r="H214" s="59" t="n">
        <v>26.196</v>
      </c>
      <c r="I214" s="59" t="n">
        <v>23.954</v>
      </c>
      <c r="J214" s="59" t="n">
        <v>3.969</v>
      </c>
      <c r="K214" s="59"/>
      <c r="L214" s="59"/>
      <c r="M214" s="59"/>
      <c r="N214" s="61" t="b">
        <f aca="false">TRUE()</f>
        <v>1</v>
      </c>
      <c r="O214" s="59" t="n">
        <v>0.31</v>
      </c>
      <c r="P214" s="61" t="b">
        <f aca="false">TRUE()</f>
        <v>1</v>
      </c>
      <c r="Q214" s="59" t="n">
        <v>1</v>
      </c>
      <c r="R214" s="59" t="n">
        <v>40</v>
      </c>
      <c r="S214" s="59"/>
      <c r="T214" s="59"/>
      <c r="U214" s="59"/>
      <c r="V214" s="59" t="n">
        <v>86.596</v>
      </c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 t="s">
        <v>83</v>
      </c>
    </row>
    <row r="215" customFormat="false" ht="15.75" hidden="false" customHeight="false" outlineLevel="0" collapsed="false">
      <c r="A215" s="59" t="n">
        <v>56</v>
      </c>
      <c r="B215" s="59" t="s">
        <v>122</v>
      </c>
      <c r="C215" s="61" t="b">
        <f aca="false">FALSE()</f>
        <v>0</v>
      </c>
      <c r="D215" s="59" t="s">
        <v>25</v>
      </c>
      <c r="E215" s="59" t="s">
        <v>40</v>
      </c>
      <c r="F215" s="59" t="s">
        <v>81</v>
      </c>
      <c r="G215" s="59" t="s">
        <v>82</v>
      </c>
      <c r="H215" s="59" t="n">
        <v>26.121</v>
      </c>
      <c r="I215" s="59" t="n">
        <v>23.954</v>
      </c>
      <c r="J215" s="59" t="n">
        <v>3.969</v>
      </c>
      <c r="K215" s="59"/>
      <c r="L215" s="59"/>
      <c r="M215" s="59"/>
      <c r="N215" s="61" t="b">
        <f aca="false">TRUE()</f>
        <v>1</v>
      </c>
      <c r="O215" s="59" t="n">
        <v>0.31</v>
      </c>
      <c r="P215" s="61" t="b">
        <f aca="false">TRUE()</f>
        <v>1</v>
      </c>
      <c r="Q215" s="59" t="n">
        <v>1</v>
      </c>
      <c r="R215" s="59" t="n">
        <v>40</v>
      </c>
      <c r="S215" s="59"/>
      <c r="T215" s="59"/>
      <c r="U215" s="59"/>
      <c r="V215" s="59" t="n">
        <v>86.401</v>
      </c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 t="s">
        <v>83</v>
      </c>
    </row>
    <row r="216" customFormat="false" ht="15.75" hidden="false" customHeight="false" outlineLevel="0" collapsed="false">
      <c r="A216" s="59" t="n">
        <v>57</v>
      </c>
      <c r="B216" s="59" t="s">
        <v>123</v>
      </c>
      <c r="C216" s="61" t="b">
        <f aca="false">FALSE()</f>
        <v>0</v>
      </c>
      <c r="D216" s="59" t="s">
        <v>26</v>
      </c>
      <c r="E216" s="59" t="s">
        <v>40</v>
      </c>
      <c r="F216" s="59" t="s">
        <v>81</v>
      </c>
      <c r="G216" s="59" t="s">
        <v>82</v>
      </c>
      <c r="H216" s="59" t="n">
        <v>26.515</v>
      </c>
      <c r="I216" s="59" t="n">
        <v>23.954</v>
      </c>
      <c r="J216" s="59" t="n">
        <v>3.969</v>
      </c>
      <c r="K216" s="59"/>
      <c r="L216" s="59"/>
      <c r="M216" s="59"/>
      <c r="N216" s="61" t="b">
        <f aca="false">TRUE()</f>
        <v>1</v>
      </c>
      <c r="O216" s="59" t="n">
        <v>0.31</v>
      </c>
      <c r="P216" s="61" t="b">
        <f aca="false">TRUE()</f>
        <v>1</v>
      </c>
      <c r="Q216" s="59" t="n">
        <v>1</v>
      </c>
      <c r="R216" s="59" t="n">
        <v>40</v>
      </c>
      <c r="S216" s="59"/>
      <c r="T216" s="59"/>
      <c r="U216" s="59"/>
      <c r="V216" s="59" t="n">
        <v>86.499</v>
      </c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 t="s">
        <v>83</v>
      </c>
    </row>
    <row r="217" customFormat="false" ht="15.75" hidden="false" customHeight="false" outlineLevel="0" collapsed="false">
      <c r="A217" s="59" t="n">
        <v>58</v>
      </c>
      <c r="B217" s="59" t="s">
        <v>124</v>
      </c>
      <c r="C217" s="61" t="b">
        <f aca="false">FALSE()</f>
        <v>0</v>
      </c>
      <c r="D217" s="59" t="s">
        <v>27</v>
      </c>
      <c r="E217" s="59" t="s">
        <v>40</v>
      </c>
      <c r="F217" s="59" t="s">
        <v>81</v>
      </c>
      <c r="G217" s="59" t="s">
        <v>82</v>
      </c>
      <c r="H217" s="59" t="n">
        <v>25.853</v>
      </c>
      <c r="I217" s="59" t="n">
        <v>23.954</v>
      </c>
      <c r="J217" s="59" t="n">
        <v>3.969</v>
      </c>
      <c r="K217" s="59"/>
      <c r="L217" s="59"/>
      <c r="M217" s="59"/>
      <c r="N217" s="61" t="b">
        <f aca="false">TRUE()</f>
        <v>1</v>
      </c>
      <c r="O217" s="59" t="n">
        <v>0.31</v>
      </c>
      <c r="P217" s="61" t="b">
        <f aca="false">TRUE()</f>
        <v>1</v>
      </c>
      <c r="Q217" s="59" t="n">
        <v>1</v>
      </c>
      <c r="R217" s="59" t="n">
        <v>40</v>
      </c>
      <c r="S217" s="59"/>
      <c r="T217" s="59"/>
      <c r="U217" s="59"/>
      <c r="V217" s="59" t="n">
        <v>86.499</v>
      </c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 t="s">
        <v>83</v>
      </c>
    </row>
    <row r="218" customFormat="false" ht="15.75" hidden="false" customHeight="false" outlineLevel="0" collapsed="false">
      <c r="A218" s="59" t="n">
        <v>59</v>
      </c>
      <c r="B218" s="59" t="s">
        <v>125</v>
      </c>
      <c r="C218" s="61" t="b">
        <f aca="false">FALSE()</f>
        <v>0</v>
      </c>
      <c r="D218" s="59" t="s">
        <v>28</v>
      </c>
      <c r="E218" s="59" t="s">
        <v>40</v>
      </c>
      <c r="F218" s="59" t="s">
        <v>81</v>
      </c>
      <c r="G218" s="59" t="s">
        <v>82</v>
      </c>
      <c r="H218" s="59" t="n">
        <v>25.517</v>
      </c>
      <c r="I218" s="59" t="n">
        <v>23.954</v>
      </c>
      <c r="J218" s="59" t="n">
        <v>3.969</v>
      </c>
      <c r="K218" s="59"/>
      <c r="L218" s="59"/>
      <c r="M218" s="59"/>
      <c r="N218" s="61" t="b">
        <f aca="false">TRUE()</f>
        <v>1</v>
      </c>
      <c r="O218" s="59" t="n">
        <v>0.31</v>
      </c>
      <c r="P218" s="61" t="b">
        <f aca="false">TRUE()</f>
        <v>1</v>
      </c>
      <c r="Q218" s="59" t="n">
        <v>1</v>
      </c>
      <c r="R218" s="59" t="n">
        <v>40</v>
      </c>
      <c r="S218" s="59"/>
      <c r="T218" s="59"/>
      <c r="U218" s="59"/>
      <c r="V218" s="59" t="n">
        <v>86.401</v>
      </c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 t="s">
        <v>83</v>
      </c>
    </row>
    <row r="219" customFormat="false" ht="15.75" hidden="false" customHeight="false" outlineLevel="0" collapsed="false">
      <c r="A219" s="59" t="n">
        <v>60</v>
      </c>
      <c r="B219" s="59" t="s">
        <v>126</v>
      </c>
      <c r="C219" s="61" t="b">
        <f aca="false">FALSE()</f>
        <v>0</v>
      </c>
      <c r="D219" s="59" t="s">
        <v>29</v>
      </c>
      <c r="E219" s="59" t="s">
        <v>40</v>
      </c>
      <c r="F219" s="59" t="s">
        <v>81</v>
      </c>
      <c r="G219" s="59" t="s">
        <v>82</v>
      </c>
      <c r="H219" s="59" t="n">
        <v>26.894</v>
      </c>
      <c r="I219" s="59" t="n">
        <v>23.954</v>
      </c>
      <c r="J219" s="59" t="n">
        <v>3.969</v>
      </c>
      <c r="K219" s="59"/>
      <c r="L219" s="59"/>
      <c r="M219" s="59"/>
      <c r="N219" s="61" t="b">
        <f aca="false">TRUE()</f>
        <v>1</v>
      </c>
      <c r="O219" s="59" t="n">
        <v>0.31</v>
      </c>
      <c r="P219" s="61" t="b">
        <f aca="false">TRUE()</f>
        <v>1</v>
      </c>
      <c r="Q219" s="59" t="n">
        <v>1</v>
      </c>
      <c r="R219" s="59" t="n">
        <v>40</v>
      </c>
      <c r="S219" s="59"/>
      <c r="T219" s="59"/>
      <c r="U219" s="59"/>
      <c r="V219" s="59" t="n">
        <v>86.499</v>
      </c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 t="s">
        <v>83</v>
      </c>
    </row>
    <row r="220" customFormat="false" ht="15.75" hidden="false" customHeight="false" outlineLevel="0" collapsed="false">
      <c r="A220" s="59" t="n">
        <v>65</v>
      </c>
      <c r="B220" s="59" t="s">
        <v>127</v>
      </c>
      <c r="C220" s="61" t="b">
        <f aca="false">FALSE()</f>
        <v>0</v>
      </c>
      <c r="D220" s="59" t="s">
        <v>30</v>
      </c>
      <c r="E220" s="59" t="s">
        <v>40</v>
      </c>
      <c r="F220" s="59" t="s">
        <v>81</v>
      </c>
      <c r="G220" s="59" t="s">
        <v>82</v>
      </c>
      <c r="H220" s="59" t="n">
        <v>27.024</v>
      </c>
      <c r="I220" s="59" t="n">
        <v>23.954</v>
      </c>
      <c r="J220" s="59" t="n">
        <v>3.969</v>
      </c>
      <c r="K220" s="59"/>
      <c r="L220" s="59"/>
      <c r="M220" s="59"/>
      <c r="N220" s="61" t="b">
        <f aca="false">TRUE()</f>
        <v>1</v>
      </c>
      <c r="O220" s="59" t="n">
        <v>0.31</v>
      </c>
      <c r="P220" s="61" t="b">
        <f aca="false">TRUE()</f>
        <v>1</v>
      </c>
      <c r="Q220" s="59" t="n">
        <v>1</v>
      </c>
      <c r="R220" s="59" t="n">
        <v>40</v>
      </c>
      <c r="S220" s="59"/>
      <c r="T220" s="59"/>
      <c r="U220" s="59"/>
      <c r="V220" s="59" t="n">
        <v>86.499</v>
      </c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 t="s">
        <v>83</v>
      </c>
    </row>
    <row r="221" customFormat="false" ht="15.75" hidden="false" customHeight="false" outlineLevel="0" collapsed="false">
      <c r="A221" s="59" t="n">
        <v>66</v>
      </c>
      <c r="B221" s="59" t="s">
        <v>128</v>
      </c>
      <c r="C221" s="61" t="b">
        <f aca="false">FALSE()</f>
        <v>0</v>
      </c>
      <c r="D221" s="59" t="s">
        <v>31</v>
      </c>
      <c r="E221" s="59" t="s">
        <v>40</v>
      </c>
      <c r="F221" s="59" t="s">
        <v>81</v>
      </c>
      <c r="G221" s="59" t="s">
        <v>82</v>
      </c>
      <c r="H221" s="59" t="n">
        <v>27.556</v>
      </c>
      <c r="I221" s="59" t="n">
        <v>23.954</v>
      </c>
      <c r="J221" s="59" t="n">
        <v>3.969</v>
      </c>
      <c r="K221" s="59"/>
      <c r="L221" s="59"/>
      <c r="M221" s="59"/>
      <c r="N221" s="61" t="b">
        <f aca="false">TRUE()</f>
        <v>1</v>
      </c>
      <c r="O221" s="59" t="n">
        <v>0.31</v>
      </c>
      <c r="P221" s="61" t="b">
        <f aca="false">TRUE()</f>
        <v>1</v>
      </c>
      <c r="Q221" s="59" t="n">
        <v>1</v>
      </c>
      <c r="R221" s="59" t="n">
        <v>40</v>
      </c>
      <c r="S221" s="59"/>
      <c r="T221" s="59"/>
      <c r="U221" s="59"/>
      <c r="V221" s="59" t="n">
        <v>86.499</v>
      </c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 t="s">
        <v>83</v>
      </c>
    </row>
    <row r="222" customFormat="false" ht="15.75" hidden="false" customHeight="false" outlineLevel="0" collapsed="false">
      <c r="A222" s="59" t="n">
        <v>1</v>
      </c>
      <c r="B222" s="59" t="s">
        <v>80</v>
      </c>
      <c r="C222" s="61" t="b">
        <f aca="false">FALSE()</f>
        <v>0</v>
      </c>
      <c r="D222" s="59" t="n">
        <v>100</v>
      </c>
      <c r="E222" s="59" t="s">
        <v>41</v>
      </c>
      <c r="F222" s="59" t="s">
        <v>81</v>
      </c>
      <c r="G222" s="59" t="s">
        <v>82</v>
      </c>
      <c r="H222" s="59" t="n">
        <v>23.27</v>
      </c>
      <c r="I222" s="59" t="n">
        <v>25.098</v>
      </c>
      <c r="J222" s="59" t="n">
        <v>2.267</v>
      </c>
      <c r="K222" s="59"/>
      <c r="L222" s="59"/>
      <c r="M222" s="59"/>
      <c r="N222" s="61" t="b">
        <f aca="false">TRUE()</f>
        <v>1</v>
      </c>
      <c r="O222" s="59" t="n">
        <v>0.078</v>
      </c>
      <c r="P222" s="61" t="b">
        <f aca="false">TRUE()</f>
        <v>1</v>
      </c>
      <c r="Q222" s="59" t="n">
        <v>1</v>
      </c>
      <c r="R222" s="59" t="n">
        <v>40</v>
      </c>
      <c r="S222" s="59"/>
      <c r="T222" s="59"/>
      <c r="U222" s="59"/>
      <c r="V222" s="59" t="n">
        <v>76.232</v>
      </c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 t="s">
        <v>83</v>
      </c>
      <c r="AH222" s="59" t="s">
        <v>84</v>
      </c>
    </row>
    <row r="223" customFormat="false" ht="15.75" hidden="false" customHeight="false" outlineLevel="0" collapsed="false">
      <c r="A223" s="59" t="n">
        <v>2</v>
      </c>
      <c r="B223" s="59" t="s">
        <v>85</v>
      </c>
      <c r="C223" s="61" t="b">
        <f aca="false">FALSE()</f>
        <v>0</v>
      </c>
      <c r="D223" s="59" t="n">
        <v>10</v>
      </c>
      <c r="E223" s="59" t="s">
        <v>41</v>
      </c>
      <c r="F223" s="59" t="s">
        <v>81</v>
      </c>
      <c r="G223" s="59" t="s">
        <v>82</v>
      </c>
      <c r="H223" s="59" t="n">
        <v>26.309</v>
      </c>
      <c r="I223" s="59" t="n">
        <v>25.098</v>
      </c>
      <c r="J223" s="59" t="n">
        <v>2.267</v>
      </c>
      <c r="K223" s="59"/>
      <c r="L223" s="59"/>
      <c r="M223" s="59"/>
      <c r="N223" s="61" t="b">
        <f aca="false">TRUE()</f>
        <v>1</v>
      </c>
      <c r="O223" s="59" t="n">
        <v>0.078</v>
      </c>
      <c r="P223" s="61" t="b">
        <f aca="false">TRUE()</f>
        <v>1</v>
      </c>
      <c r="Q223" s="59" t="n">
        <v>1</v>
      </c>
      <c r="R223" s="59" t="n">
        <v>40</v>
      </c>
      <c r="S223" s="59"/>
      <c r="T223" s="59"/>
      <c r="U223" s="59"/>
      <c r="V223" s="59" t="n">
        <v>75.647</v>
      </c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 t="s">
        <v>83</v>
      </c>
      <c r="AH223" s="59" t="s">
        <v>84</v>
      </c>
    </row>
    <row r="224" customFormat="false" ht="15.75" hidden="false" customHeight="false" outlineLevel="0" collapsed="false">
      <c r="A224" s="59" t="n">
        <v>3</v>
      </c>
      <c r="B224" s="59" t="s">
        <v>86</v>
      </c>
      <c r="C224" s="61" t="b">
        <f aca="false">FALSE()</f>
        <v>0</v>
      </c>
      <c r="D224" s="59" t="n">
        <v>1</v>
      </c>
      <c r="E224" s="59" t="s">
        <v>41</v>
      </c>
      <c r="F224" s="59" t="s">
        <v>81</v>
      </c>
      <c r="G224" s="59" t="s">
        <v>82</v>
      </c>
      <c r="H224" s="59" t="n">
        <v>29.382</v>
      </c>
      <c r="I224" s="59" t="n">
        <v>25.098</v>
      </c>
      <c r="J224" s="59" t="n">
        <v>2.267</v>
      </c>
      <c r="K224" s="59"/>
      <c r="L224" s="59"/>
      <c r="M224" s="59"/>
      <c r="N224" s="61" t="b">
        <f aca="false">TRUE()</f>
        <v>1</v>
      </c>
      <c r="O224" s="59" t="n">
        <v>0.078</v>
      </c>
      <c r="P224" s="61" t="b">
        <f aca="false">TRUE()</f>
        <v>1</v>
      </c>
      <c r="Q224" s="59" t="n">
        <v>1</v>
      </c>
      <c r="R224" s="59" t="n">
        <v>40</v>
      </c>
      <c r="S224" s="59"/>
      <c r="T224" s="59"/>
      <c r="U224" s="59"/>
      <c r="V224" s="59" t="n">
        <v>75.647</v>
      </c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 t="s">
        <v>83</v>
      </c>
      <c r="AH224" s="59" t="s">
        <v>84</v>
      </c>
    </row>
    <row r="225" customFormat="false" ht="15.75" hidden="false" customHeight="false" outlineLevel="0" collapsed="false">
      <c r="A225" s="59" t="n">
        <v>4</v>
      </c>
      <c r="B225" s="59" t="s">
        <v>87</v>
      </c>
      <c r="C225" s="61" t="b">
        <f aca="false">FALSE()</f>
        <v>0</v>
      </c>
      <c r="D225" s="59" t="n">
        <v>0.1</v>
      </c>
      <c r="E225" s="59" t="s">
        <v>41</v>
      </c>
      <c r="F225" s="59" t="s">
        <v>81</v>
      </c>
      <c r="G225" s="59" t="s">
        <v>82</v>
      </c>
      <c r="H225" s="59" t="n">
        <v>34.578</v>
      </c>
      <c r="I225" s="59" t="n">
        <v>25.098</v>
      </c>
      <c r="J225" s="59" t="n">
        <v>2.267</v>
      </c>
      <c r="K225" s="59"/>
      <c r="L225" s="59"/>
      <c r="M225" s="59"/>
      <c r="N225" s="61" t="b">
        <f aca="false">TRUE()</f>
        <v>1</v>
      </c>
      <c r="O225" s="59" t="n">
        <v>0.078</v>
      </c>
      <c r="P225" s="61" t="b">
        <f aca="false">TRUE()</f>
        <v>1</v>
      </c>
      <c r="Q225" s="59" t="n">
        <v>1</v>
      </c>
      <c r="R225" s="59" t="n">
        <v>40</v>
      </c>
      <c r="S225" s="59"/>
      <c r="T225" s="59"/>
      <c r="U225" s="59"/>
      <c r="V225" s="59" t="n">
        <v>75.55</v>
      </c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 t="s">
        <v>83</v>
      </c>
      <c r="AH225" s="59" t="s">
        <v>83</v>
      </c>
    </row>
    <row r="226" customFormat="false" ht="15.75" hidden="false" customHeight="false" outlineLevel="0" collapsed="false">
      <c r="A226" s="59" t="n">
        <v>5</v>
      </c>
      <c r="B226" s="59" t="s">
        <v>89</v>
      </c>
      <c r="C226" s="61" t="b">
        <f aca="false">FALSE()</f>
        <v>0</v>
      </c>
      <c r="D226" s="59" t="s">
        <v>3</v>
      </c>
      <c r="E226" s="59" t="s">
        <v>41</v>
      </c>
      <c r="F226" s="59" t="s">
        <v>81</v>
      </c>
      <c r="G226" s="59" t="s">
        <v>82</v>
      </c>
      <c r="H226" s="59" t="n">
        <v>24.254</v>
      </c>
      <c r="I226" s="59" t="n">
        <v>25.098</v>
      </c>
      <c r="J226" s="59" t="n">
        <v>2.267</v>
      </c>
      <c r="K226" s="59"/>
      <c r="L226" s="59"/>
      <c r="M226" s="59"/>
      <c r="N226" s="61" t="b">
        <f aca="false">TRUE()</f>
        <v>1</v>
      </c>
      <c r="O226" s="59" t="n">
        <v>0.078</v>
      </c>
      <c r="P226" s="61" t="b">
        <f aca="false">TRUE()</f>
        <v>1</v>
      </c>
      <c r="Q226" s="59" t="n">
        <v>1</v>
      </c>
      <c r="R226" s="59" t="n">
        <v>40</v>
      </c>
      <c r="S226" s="59"/>
      <c r="T226" s="59"/>
      <c r="U226" s="59"/>
      <c r="V226" s="59" t="n">
        <v>76.037</v>
      </c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 t="s">
        <v>83</v>
      </c>
      <c r="AH226" s="59" t="s">
        <v>84</v>
      </c>
    </row>
    <row r="227" customFormat="false" ht="15.75" hidden="false" customHeight="false" outlineLevel="0" collapsed="false">
      <c r="A227" s="59" t="n">
        <v>6</v>
      </c>
      <c r="B227" s="59" t="s">
        <v>90</v>
      </c>
      <c r="C227" s="61" t="b">
        <f aca="false">FALSE()</f>
        <v>0</v>
      </c>
      <c r="D227" s="59" t="s">
        <v>4</v>
      </c>
      <c r="E227" s="59" t="s">
        <v>41</v>
      </c>
      <c r="F227" s="59" t="s">
        <v>81</v>
      </c>
      <c r="G227" s="59" t="s">
        <v>82</v>
      </c>
      <c r="H227" s="59" t="n">
        <v>23.779</v>
      </c>
      <c r="I227" s="59" t="n">
        <v>25.098</v>
      </c>
      <c r="J227" s="59" t="n">
        <v>2.267</v>
      </c>
      <c r="K227" s="59"/>
      <c r="L227" s="59"/>
      <c r="M227" s="59"/>
      <c r="N227" s="61" t="b">
        <f aca="false">TRUE()</f>
        <v>1</v>
      </c>
      <c r="O227" s="59" t="n">
        <v>0.078</v>
      </c>
      <c r="P227" s="61" t="b">
        <f aca="false">TRUE()</f>
        <v>1</v>
      </c>
      <c r="Q227" s="59" t="n">
        <v>1</v>
      </c>
      <c r="R227" s="59" t="n">
        <v>40</v>
      </c>
      <c r="S227" s="59"/>
      <c r="T227" s="59"/>
      <c r="U227" s="59"/>
      <c r="V227" s="59" t="n">
        <v>76.135</v>
      </c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 t="s">
        <v>83</v>
      </c>
      <c r="AH227" s="59" t="s">
        <v>84</v>
      </c>
    </row>
    <row r="228" customFormat="false" ht="15.75" hidden="false" customHeight="false" outlineLevel="0" collapsed="false">
      <c r="A228" s="59" t="n">
        <v>7</v>
      </c>
      <c r="B228" s="59" t="s">
        <v>91</v>
      </c>
      <c r="C228" s="61" t="b">
        <f aca="false">FALSE()</f>
        <v>0</v>
      </c>
      <c r="D228" s="59" t="s">
        <v>5</v>
      </c>
      <c r="E228" s="59" t="s">
        <v>41</v>
      </c>
      <c r="F228" s="59" t="s">
        <v>81</v>
      </c>
      <c r="G228" s="59" t="s">
        <v>82</v>
      </c>
      <c r="H228" s="59" t="n">
        <v>24.163</v>
      </c>
      <c r="I228" s="59" t="n">
        <v>25.098</v>
      </c>
      <c r="J228" s="59" t="n">
        <v>2.267</v>
      </c>
      <c r="K228" s="59"/>
      <c r="L228" s="59"/>
      <c r="M228" s="59"/>
      <c r="N228" s="61" t="b">
        <f aca="false">TRUE()</f>
        <v>1</v>
      </c>
      <c r="O228" s="59" t="n">
        <v>0.078</v>
      </c>
      <c r="P228" s="61" t="b">
        <f aca="false">TRUE()</f>
        <v>1</v>
      </c>
      <c r="Q228" s="59" t="n">
        <v>1</v>
      </c>
      <c r="R228" s="59" t="n">
        <v>40</v>
      </c>
      <c r="S228" s="59"/>
      <c r="T228" s="59"/>
      <c r="U228" s="59"/>
      <c r="V228" s="59" t="n">
        <v>76.135</v>
      </c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 t="s">
        <v>83</v>
      </c>
      <c r="AH228" s="59" t="s">
        <v>84</v>
      </c>
    </row>
    <row r="229" customFormat="false" ht="15.75" hidden="false" customHeight="false" outlineLevel="0" collapsed="false">
      <c r="A229" s="59" t="n">
        <v>8</v>
      </c>
      <c r="B229" s="59" t="s">
        <v>92</v>
      </c>
      <c r="C229" s="61" t="b">
        <f aca="false">FALSE()</f>
        <v>0</v>
      </c>
      <c r="D229" s="59" t="s">
        <v>6</v>
      </c>
      <c r="E229" s="59" t="s">
        <v>41</v>
      </c>
      <c r="F229" s="59" t="s">
        <v>81</v>
      </c>
      <c r="G229" s="59" t="s">
        <v>82</v>
      </c>
      <c r="H229" s="59" t="n">
        <v>24.584</v>
      </c>
      <c r="I229" s="59" t="n">
        <v>25.098</v>
      </c>
      <c r="J229" s="59" t="n">
        <v>2.267</v>
      </c>
      <c r="K229" s="59"/>
      <c r="L229" s="59"/>
      <c r="M229" s="59"/>
      <c r="N229" s="61" t="b">
        <f aca="false">TRUE()</f>
        <v>1</v>
      </c>
      <c r="O229" s="59" t="n">
        <v>0.078</v>
      </c>
      <c r="P229" s="61" t="b">
        <f aca="false">TRUE()</f>
        <v>1</v>
      </c>
      <c r="Q229" s="59" t="n">
        <v>1</v>
      </c>
      <c r="R229" s="59" t="n">
        <v>40</v>
      </c>
      <c r="S229" s="59"/>
      <c r="T229" s="59"/>
      <c r="U229" s="59"/>
      <c r="V229" s="59" t="n">
        <v>76.037</v>
      </c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 t="s">
        <v>83</v>
      </c>
      <c r="AH229" s="59" t="s">
        <v>84</v>
      </c>
    </row>
    <row r="230" customFormat="false" ht="15.75" hidden="false" customHeight="false" outlineLevel="0" collapsed="false">
      <c r="A230" s="59" t="n">
        <v>9</v>
      </c>
      <c r="B230" s="59" t="s">
        <v>93</v>
      </c>
      <c r="C230" s="61" t="b">
        <f aca="false">FALSE()</f>
        <v>0</v>
      </c>
      <c r="D230" s="59" t="s">
        <v>7</v>
      </c>
      <c r="E230" s="59" t="s">
        <v>41</v>
      </c>
      <c r="F230" s="59" t="s">
        <v>81</v>
      </c>
      <c r="G230" s="59" t="s">
        <v>82</v>
      </c>
      <c r="H230" s="59" t="n">
        <v>25.781</v>
      </c>
      <c r="I230" s="59" t="n">
        <v>25.098</v>
      </c>
      <c r="J230" s="59" t="n">
        <v>2.267</v>
      </c>
      <c r="K230" s="59"/>
      <c r="L230" s="59"/>
      <c r="M230" s="59"/>
      <c r="N230" s="61" t="b">
        <f aca="false">TRUE()</f>
        <v>1</v>
      </c>
      <c r="O230" s="59" t="n">
        <v>0.078</v>
      </c>
      <c r="P230" s="61" t="b">
        <f aca="false">TRUE()</f>
        <v>1</v>
      </c>
      <c r="Q230" s="59" t="n">
        <v>1</v>
      </c>
      <c r="R230" s="59" t="n">
        <v>40</v>
      </c>
      <c r="S230" s="59"/>
      <c r="T230" s="59"/>
      <c r="U230" s="59"/>
      <c r="V230" s="59" t="n">
        <v>76.037</v>
      </c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 t="s">
        <v>83</v>
      </c>
      <c r="AH230" s="59" t="s">
        <v>84</v>
      </c>
    </row>
    <row r="231" customFormat="false" ht="15.75" hidden="false" customHeight="false" outlineLevel="0" collapsed="false">
      <c r="A231" s="59" t="n">
        <v>10</v>
      </c>
      <c r="B231" s="59" t="s">
        <v>94</v>
      </c>
      <c r="C231" s="61" t="b">
        <f aca="false">FALSE()</f>
        <v>0</v>
      </c>
      <c r="D231" s="59" t="s">
        <v>8</v>
      </c>
      <c r="E231" s="59" t="s">
        <v>41</v>
      </c>
      <c r="F231" s="59" t="s">
        <v>81</v>
      </c>
      <c r="G231" s="59" t="s">
        <v>82</v>
      </c>
      <c r="H231" s="59" t="n">
        <v>23.842</v>
      </c>
      <c r="I231" s="59" t="n">
        <v>25.098</v>
      </c>
      <c r="J231" s="59" t="n">
        <v>2.267</v>
      </c>
      <c r="K231" s="59"/>
      <c r="L231" s="59"/>
      <c r="M231" s="59"/>
      <c r="N231" s="61" t="b">
        <f aca="false">TRUE()</f>
        <v>1</v>
      </c>
      <c r="O231" s="59" t="n">
        <v>0.078</v>
      </c>
      <c r="P231" s="61" t="b">
        <f aca="false">TRUE()</f>
        <v>1</v>
      </c>
      <c r="Q231" s="59" t="n">
        <v>1</v>
      </c>
      <c r="R231" s="59" t="n">
        <v>40</v>
      </c>
      <c r="S231" s="59"/>
      <c r="T231" s="59"/>
      <c r="U231" s="59"/>
      <c r="V231" s="59" t="n">
        <v>75.94</v>
      </c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 t="s">
        <v>83</v>
      </c>
      <c r="AH231" s="59" t="s">
        <v>84</v>
      </c>
    </row>
    <row r="232" customFormat="false" ht="15.75" hidden="false" customHeight="false" outlineLevel="0" collapsed="false">
      <c r="A232" s="59" t="n">
        <v>11</v>
      </c>
      <c r="B232" s="59" t="s">
        <v>95</v>
      </c>
      <c r="C232" s="61" t="b">
        <f aca="false">FALSE()</f>
        <v>0</v>
      </c>
      <c r="D232" s="59" t="s">
        <v>9</v>
      </c>
      <c r="E232" s="59" t="s">
        <v>41</v>
      </c>
      <c r="F232" s="59" t="s">
        <v>81</v>
      </c>
      <c r="G232" s="59" t="s">
        <v>82</v>
      </c>
      <c r="H232" s="59" t="n">
        <v>24.006</v>
      </c>
      <c r="I232" s="59" t="n">
        <v>25.098</v>
      </c>
      <c r="J232" s="59" t="n">
        <v>2.267</v>
      </c>
      <c r="K232" s="59"/>
      <c r="L232" s="59"/>
      <c r="M232" s="59"/>
      <c r="N232" s="61" t="b">
        <f aca="false">TRUE()</f>
        <v>1</v>
      </c>
      <c r="O232" s="59" t="n">
        <v>0.078</v>
      </c>
      <c r="P232" s="61" t="b">
        <f aca="false">TRUE()</f>
        <v>1</v>
      </c>
      <c r="Q232" s="59" t="n">
        <v>1</v>
      </c>
      <c r="R232" s="59" t="n">
        <v>40</v>
      </c>
      <c r="S232" s="59"/>
      <c r="T232" s="59"/>
      <c r="U232" s="59"/>
      <c r="V232" s="59" t="n">
        <v>75.842</v>
      </c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 t="s">
        <v>83</v>
      </c>
      <c r="AH232" s="59" t="s">
        <v>84</v>
      </c>
    </row>
    <row r="233" customFormat="false" ht="15.75" hidden="false" customHeight="false" outlineLevel="0" collapsed="false">
      <c r="A233" s="59" t="n">
        <v>12</v>
      </c>
      <c r="B233" s="59" t="s">
        <v>96</v>
      </c>
      <c r="C233" s="61" t="b">
        <f aca="false">FALSE()</f>
        <v>0</v>
      </c>
      <c r="D233" s="59" t="s">
        <v>10</v>
      </c>
      <c r="E233" s="59" t="s">
        <v>41</v>
      </c>
      <c r="F233" s="59" t="s">
        <v>81</v>
      </c>
      <c r="G233" s="59" t="s">
        <v>82</v>
      </c>
      <c r="H233" s="59" t="n">
        <v>24.559</v>
      </c>
      <c r="I233" s="59" t="n">
        <v>25.098</v>
      </c>
      <c r="J233" s="59" t="n">
        <v>2.267</v>
      </c>
      <c r="K233" s="59"/>
      <c r="L233" s="59"/>
      <c r="M233" s="59"/>
      <c r="N233" s="61" t="b">
        <f aca="false">TRUE()</f>
        <v>1</v>
      </c>
      <c r="O233" s="59" t="n">
        <v>0.078</v>
      </c>
      <c r="P233" s="61" t="b">
        <f aca="false">TRUE()</f>
        <v>1</v>
      </c>
      <c r="Q233" s="59" t="n">
        <v>1</v>
      </c>
      <c r="R233" s="59" t="n">
        <v>40</v>
      </c>
      <c r="S233" s="59"/>
      <c r="T233" s="59"/>
      <c r="U233" s="59"/>
      <c r="V233" s="59" t="n">
        <v>75.842</v>
      </c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 t="s">
        <v>83</v>
      </c>
      <c r="AH233" s="59" t="s">
        <v>84</v>
      </c>
    </row>
    <row r="234" customFormat="false" ht="15.75" hidden="false" customHeight="false" outlineLevel="0" collapsed="false">
      <c r="A234" s="59" t="n">
        <v>17</v>
      </c>
      <c r="B234" s="59" t="s">
        <v>97</v>
      </c>
      <c r="C234" s="61" t="b">
        <f aca="false">FALSE()</f>
        <v>0</v>
      </c>
      <c r="D234" s="59" t="s">
        <v>11</v>
      </c>
      <c r="E234" s="59" t="s">
        <v>41</v>
      </c>
      <c r="F234" s="59" t="s">
        <v>81</v>
      </c>
      <c r="G234" s="59" t="s">
        <v>82</v>
      </c>
      <c r="H234" s="59" t="n">
        <v>24.32</v>
      </c>
      <c r="I234" s="59" t="n">
        <v>25.098</v>
      </c>
      <c r="J234" s="59" t="n">
        <v>2.267</v>
      </c>
      <c r="K234" s="59"/>
      <c r="L234" s="59"/>
      <c r="M234" s="59"/>
      <c r="N234" s="61" t="b">
        <f aca="false">TRUE()</f>
        <v>1</v>
      </c>
      <c r="O234" s="59" t="n">
        <v>0.078</v>
      </c>
      <c r="P234" s="61" t="b">
        <f aca="false">TRUE()</f>
        <v>1</v>
      </c>
      <c r="Q234" s="59" t="n">
        <v>1</v>
      </c>
      <c r="R234" s="59" t="n">
        <v>40</v>
      </c>
      <c r="S234" s="59"/>
      <c r="T234" s="59"/>
      <c r="U234" s="59"/>
      <c r="V234" s="59" t="n">
        <v>75.94</v>
      </c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 t="s">
        <v>83</v>
      </c>
      <c r="AH234" s="59" t="s">
        <v>84</v>
      </c>
    </row>
    <row r="235" customFormat="false" ht="15.75" hidden="false" customHeight="false" outlineLevel="0" collapsed="false">
      <c r="A235" s="59" t="n">
        <v>18</v>
      </c>
      <c r="B235" s="59" t="s">
        <v>98</v>
      </c>
      <c r="C235" s="61" t="b">
        <f aca="false">FALSE()</f>
        <v>0</v>
      </c>
      <c r="D235" s="59" t="s">
        <v>23</v>
      </c>
      <c r="E235" s="59" t="s">
        <v>41</v>
      </c>
      <c r="F235" s="59" t="s">
        <v>81</v>
      </c>
      <c r="G235" s="59" t="s">
        <v>82</v>
      </c>
      <c r="H235" s="59" t="n">
        <v>24.514</v>
      </c>
      <c r="I235" s="59" t="n">
        <v>25.098</v>
      </c>
      <c r="J235" s="59" t="n">
        <v>2.267</v>
      </c>
      <c r="K235" s="59"/>
      <c r="L235" s="59"/>
      <c r="M235" s="59"/>
      <c r="N235" s="61" t="b">
        <f aca="false">TRUE()</f>
        <v>1</v>
      </c>
      <c r="O235" s="59" t="n">
        <v>0.078</v>
      </c>
      <c r="P235" s="61" t="b">
        <f aca="false">TRUE()</f>
        <v>1</v>
      </c>
      <c r="Q235" s="59" t="n">
        <v>1</v>
      </c>
      <c r="R235" s="59" t="n">
        <v>40</v>
      </c>
      <c r="S235" s="59"/>
      <c r="T235" s="59"/>
      <c r="U235" s="59"/>
      <c r="V235" s="59" t="n">
        <v>76.037</v>
      </c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 t="s">
        <v>83</v>
      </c>
      <c r="AH235" s="59" t="s">
        <v>84</v>
      </c>
    </row>
    <row r="236" customFormat="false" ht="15.75" hidden="false" customHeight="false" outlineLevel="0" collapsed="false">
      <c r="A236" s="59" t="n">
        <v>19</v>
      </c>
      <c r="B236" s="59" t="s">
        <v>99</v>
      </c>
      <c r="C236" s="61" t="b">
        <f aca="false">FALSE()</f>
        <v>0</v>
      </c>
      <c r="D236" s="59" t="s">
        <v>24</v>
      </c>
      <c r="E236" s="59" t="s">
        <v>41</v>
      </c>
      <c r="F236" s="59" t="s">
        <v>81</v>
      </c>
      <c r="G236" s="59" t="s">
        <v>82</v>
      </c>
      <c r="H236" s="59" t="n">
        <v>24.472</v>
      </c>
      <c r="I236" s="59" t="n">
        <v>25.098</v>
      </c>
      <c r="J236" s="59" t="n">
        <v>2.267</v>
      </c>
      <c r="K236" s="59"/>
      <c r="L236" s="59"/>
      <c r="M236" s="59"/>
      <c r="N236" s="61" t="b">
        <f aca="false">TRUE()</f>
        <v>1</v>
      </c>
      <c r="O236" s="59" t="n">
        <v>0.078</v>
      </c>
      <c r="P236" s="61" t="b">
        <f aca="false">TRUE()</f>
        <v>1</v>
      </c>
      <c r="Q236" s="59" t="n">
        <v>1</v>
      </c>
      <c r="R236" s="59" t="n">
        <v>40</v>
      </c>
      <c r="S236" s="59"/>
      <c r="T236" s="59"/>
      <c r="U236" s="59"/>
      <c r="V236" s="59" t="n">
        <v>76.135</v>
      </c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 t="s">
        <v>83</v>
      </c>
      <c r="AH236" s="59" t="s">
        <v>84</v>
      </c>
    </row>
    <row r="237" customFormat="false" ht="15.75" hidden="false" customHeight="false" outlineLevel="0" collapsed="false">
      <c r="A237" s="59" t="n">
        <v>20</v>
      </c>
      <c r="B237" s="59" t="s">
        <v>100</v>
      </c>
      <c r="C237" s="61" t="b">
        <f aca="false">FALSE()</f>
        <v>0</v>
      </c>
      <c r="D237" s="59" t="s">
        <v>25</v>
      </c>
      <c r="E237" s="59" t="s">
        <v>41</v>
      </c>
      <c r="F237" s="59" t="s">
        <v>81</v>
      </c>
      <c r="G237" s="59" t="s">
        <v>82</v>
      </c>
      <c r="H237" s="59" t="n">
        <v>24.211</v>
      </c>
      <c r="I237" s="59" t="n">
        <v>25.098</v>
      </c>
      <c r="J237" s="59" t="n">
        <v>2.267</v>
      </c>
      <c r="K237" s="59"/>
      <c r="L237" s="59"/>
      <c r="M237" s="59"/>
      <c r="N237" s="61" t="b">
        <f aca="false">TRUE()</f>
        <v>1</v>
      </c>
      <c r="O237" s="59" t="n">
        <v>0.078</v>
      </c>
      <c r="P237" s="61" t="b">
        <f aca="false">TRUE()</f>
        <v>1</v>
      </c>
      <c r="Q237" s="59" t="n">
        <v>1</v>
      </c>
      <c r="R237" s="59" t="n">
        <v>40</v>
      </c>
      <c r="S237" s="59"/>
      <c r="T237" s="59"/>
      <c r="U237" s="59"/>
      <c r="V237" s="59" t="n">
        <v>76.037</v>
      </c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 t="s">
        <v>83</v>
      </c>
      <c r="AH237" s="59" t="s">
        <v>84</v>
      </c>
    </row>
    <row r="238" customFormat="false" ht="15.75" hidden="false" customHeight="false" outlineLevel="0" collapsed="false">
      <c r="A238" s="59" t="n">
        <v>21</v>
      </c>
      <c r="B238" s="59" t="s">
        <v>101</v>
      </c>
      <c r="C238" s="61" t="b">
        <f aca="false">FALSE()</f>
        <v>0</v>
      </c>
      <c r="D238" s="59" t="s">
        <v>26</v>
      </c>
      <c r="E238" s="59" t="s">
        <v>41</v>
      </c>
      <c r="F238" s="59" t="s">
        <v>81</v>
      </c>
      <c r="G238" s="59" t="s">
        <v>82</v>
      </c>
      <c r="H238" s="59" t="n">
        <v>24.449</v>
      </c>
      <c r="I238" s="59" t="n">
        <v>25.098</v>
      </c>
      <c r="J238" s="59" t="n">
        <v>2.267</v>
      </c>
      <c r="K238" s="59"/>
      <c r="L238" s="59"/>
      <c r="M238" s="59"/>
      <c r="N238" s="61" t="b">
        <f aca="false">TRUE()</f>
        <v>1</v>
      </c>
      <c r="O238" s="59" t="n">
        <v>0.078</v>
      </c>
      <c r="P238" s="61" t="b">
        <f aca="false">TRUE()</f>
        <v>1</v>
      </c>
      <c r="Q238" s="59" t="n">
        <v>1</v>
      </c>
      <c r="R238" s="59" t="n">
        <v>40</v>
      </c>
      <c r="S238" s="59"/>
      <c r="T238" s="59"/>
      <c r="U238" s="59"/>
      <c r="V238" s="59" t="n">
        <v>76.037</v>
      </c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 t="s">
        <v>83</v>
      </c>
      <c r="AH238" s="59" t="s">
        <v>84</v>
      </c>
    </row>
    <row r="239" customFormat="false" ht="15.75" hidden="false" customHeight="false" outlineLevel="0" collapsed="false">
      <c r="A239" s="59" t="n">
        <v>22</v>
      </c>
      <c r="B239" s="59" t="s">
        <v>102</v>
      </c>
      <c r="C239" s="61" t="b">
        <f aca="false">FALSE()</f>
        <v>0</v>
      </c>
      <c r="D239" s="59" t="s">
        <v>27</v>
      </c>
      <c r="E239" s="59" t="s">
        <v>41</v>
      </c>
      <c r="F239" s="59" t="s">
        <v>81</v>
      </c>
      <c r="G239" s="59" t="s">
        <v>82</v>
      </c>
      <c r="H239" s="59" t="n">
        <v>23.467</v>
      </c>
      <c r="I239" s="59" t="n">
        <v>25.098</v>
      </c>
      <c r="J239" s="59" t="n">
        <v>2.267</v>
      </c>
      <c r="K239" s="59"/>
      <c r="L239" s="59"/>
      <c r="M239" s="59"/>
      <c r="N239" s="61" t="b">
        <f aca="false">TRUE()</f>
        <v>1</v>
      </c>
      <c r="O239" s="59" t="n">
        <v>0.078</v>
      </c>
      <c r="P239" s="61" t="b">
        <f aca="false">TRUE()</f>
        <v>1</v>
      </c>
      <c r="Q239" s="59" t="n">
        <v>1</v>
      </c>
      <c r="R239" s="59" t="n">
        <v>40</v>
      </c>
      <c r="S239" s="59"/>
      <c r="T239" s="59"/>
      <c r="U239" s="59"/>
      <c r="V239" s="59" t="n">
        <v>76.037</v>
      </c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 t="s">
        <v>83</v>
      </c>
      <c r="AH239" s="59" t="s">
        <v>84</v>
      </c>
    </row>
    <row r="240" customFormat="false" ht="15.75" hidden="false" customHeight="false" outlineLevel="0" collapsed="false">
      <c r="A240" s="59" t="n">
        <v>23</v>
      </c>
      <c r="B240" s="59" t="s">
        <v>103</v>
      </c>
      <c r="C240" s="61" t="b">
        <f aca="false">FALSE()</f>
        <v>0</v>
      </c>
      <c r="D240" s="59" t="s">
        <v>28</v>
      </c>
      <c r="E240" s="59" t="s">
        <v>41</v>
      </c>
      <c r="F240" s="59" t="s">
        <v>81</v>
      </c>
      <c r="G240" s="59" t="s">
        <v>82</v>
      </c>
      <c r="H240" s="59" t="n">
        <v>24.052</v>
      </c>
      <c r="I240" s="59" t="n">
        <v>25.098</v>
      </c>
      <c r="J240" s="59" t="n">
        <v>2.267</v>
      </c>
      <c r="K240" s="59"/>
      <c r="L240" s="59"/>
      <c r="M240" s="59"/>
      <c r="N240" s="61" t="b">
        <f aca="false">TRUE()</f>
        <v>1</v>
      </c>
      <c r="O240" s="59" t="n">
        <v>0.078</v>
      </c>
      <c r="P240" s="61" t="b">
        <f aca="false">TRUE()</f>
        <v>1</v>
      </c>
      <c r="Q240" s="59" t="n">
        <v>1</v>
      </c>
      <c r="R240" s="59" t="n">
        <v>40</v>
      </c>
      <c r="S240" s="59"/>
      <c r="T240" s="59"/>
      <c r="U240" s="59"/>
      <c r="V240" s="59" t="n">
        <v>75.94</v>
      </c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 t="s">
        <v>83</v>
      </c>
      <c r="AH240" s="59" t="s">
        <v>84</v>
      </c>
    </row>
    <row r="241" customFormat="false" ht="15.75" hidden="false" customHeight="false" outlineLevel="0" collapsed="false">
      <c r="A241" s="59" t="n">
        <v>24</v>
      </c>
      <c r="B241" s="59" t="s">
        <v>104</v>
      </c>
      <c r="C241" s="61" t="b">
        <f aca="false">FALSE()</f>
        <v>0</v>
      </c>
      <c r="D241" s="59" t="s">
        <v>29</v>
      </c>
      <c r="E241" s="59" t="s">
        <v>41</v>
      </c>
      <c r="F241" s="59" t="s">
        <v>81</v>
      </c>
      <c r="G241" s="59" t="s">
        <v>82</v>
      </c>
      <c r="H241" s="59" t="n">
        <v>24.156</v>
      </c>
      <c r="I241" s="59" t="n">
        <v>25.098</v>
      </c>
      <c r="J241" s="59" t="n">
        <v>2.267</v>
      </c>
      <c r="K241" s="59"/>
      <c r="L241" s="59"/>
      <c r="M241" s="59"/>
      <c r="N241" s="61" t="b">
        <f aca="false">TRUE()</f>
        <v>1</v>
      </c>
      <c r="O241" s="59" t="n">
        <v>0.078</v>
      </c>
      <c r="P241" s="61" t="b">
        <f aca="false">TRUE()</f>
        <v>1</v>
      </c>
      <c r="Q241" s="59" t="n">
        <v>1</v>
      </c>
      <c r="R241" s="59" t="n">
        <v>40</v>
      </c>
      <c r="S241" s="59"/>
      <c r="T241" s="59"/>
      <c r="U241" s="59"/>
      <c r="V241" s="59" t="n">
        <v>75.94</v>
      </c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 t="s">
        <v>83</v>
      </c>
      <c r="AH241" s="59" t="s">
        <v>84</v>
      </c>
    </row>
    <row r="242" customFormat="false" ht="15.75" hidden="false" customHeight="false" outlineLevel="0" collapsed="false">
      <c r="A242" s="59" t="n">
        <v>29</v>
      </c>
      <c r="B242" s="59" t="s">
        <v>105</v>
      </c>
      <c r="C242" s="61" t="b">
        <f aca="false">FALSE()</f>
        <v>0</v>
      </c>
      <c r="D242" s="59" t="s">
        <v>30</v>
      </c>
      <c r="E242" s="59" t="s">
        <v>41</v>
      </c>
      <c r="F242" s="59" t="s">
        <v>81</v>
      </c>
      <c r="G242" s="59" t="s">
        <v>82</v>
      </c>
      <c r="H242" s="59" t="n">
        <v>25.363</v>
      </c>
      <c r="I242" s="59" t="n">
        <v>25.098</v>
      </c>
      <c r="J242" s="59" t="n">
        <v>2.267</v>
      </c>
      <c r="K242" s="59"/>
      <c r="L242" s="59"/>
      <c r="M242" s="59"/>
      <c r="N242" s="61" t="b">
        <f aca="false">TRUE()</f>
        <v>1</v>
      </c>
      <c r="O242" s="59" t="n">
        <v>0.078</v>
      </c>
      <c r="P242" s="61" t="b">
        <f aca="false">TRUE()</f>
        <v>1</v>
      </c>
      <c r="Q242" s="59" t="n">
        <v>1</v>
      </c>
      <c r="R242" s="59" t="n">
        <v>40</v>
      </c>
      <c r="S242" s="59"/>
      <c r="T242" s="59"/>
      <c r="U242" s="59"/>
      <c r="V242" s="59" t="n">
        <v>75.94</v>
      </c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 t="s">
        <v>83</v>
      </c>
      <c r="AH242" s="59" t="s">
        <v>84</v>
      </c>
    </row>
    <row r="243" customFormat="false" ht="15.75" hidden="false" customHeight="false" outlineLevel="0" collapsed="false">
      <c r="A243" s="59" t="n">
        <v>30</v>
      </c>
      <c r="B243" s="59" t="s">
        <v>106</v>
      </c>
      <c r="C243" s="61" t="b">
        <f aca="false">FALSE()</f>
        <v>0</v>
      </c>
      <c r="D243" s="59" t="s">
        <v>31</v>
      </c>
      <c r="E243" s="59" t="s">
        <v>41</v>
      </c>
      <c r="F243" s="59" t="s">
        <v>81</v>
      </c>
      <c r="G243" s="59" t="s">
        <v>82</v>
      </c>
      <c r="H243" s="59" t="n">
        <v>25.123</v>
      </c>
      <c r="I243" s="59" t="n">
        <v>25.098</v>
      </c>
      <c r="J243" s="59" t="n">
        <v>2.267</v>
      </c>
      <c r="K243" s="59"/>
      <c r="L243" s="59"/>
      <c r="M243" s="59"/>
      <c r="N243" s="61" t="b">
        <f aca="false">TRUE()</f>
        <v>1</v>
      </c>
      <c r="O243" s="59" t="n">
        <v>0.078</v>
      </c>
      <c r="P243" s="61" t="b">
        <f aca="false">TRUE()</f>
        <v>1</v>
      </c>
      <c r="Q243" s="59" t="n">
        <v>1</v>
      </c>
      <c r="R243" s="59" t="n">
        <v>40</v>
      </c>
      <c r="S243" s="59"/>
      <c r="T243" s="59"/>
      <c r="U243" s="59"/>
      <c r="V243" s="59" t="n">
        <v>76.037</v>
      </c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 t="s">
        <v>83</v>
      </c>
      <c r="AH243" s="59" t="s">
        <v>84</v>
      </c>
    </row>
    <row r="244" customFormat="false" ht="15.75" hidden="false" customHeight="false" outlineLevel="0" collapsed="false">
      <c r="A244" s="59" t="n">
        <v>37</v>
      </c>
      <c r="B244" s="59" t="s">
        <v>107</v>
      </c>
      <c r="C244" s="61" t="b">
        <f aca="false">FALSE()</f>
        <v>0</v>
      </c>
      <c r="D244" s="59" t="n">
        <v>100</v>
      </c>
      <c r="E244" s="59" t="s">
        <v>42</v>
      </c>
      <c r="F244" s="59" t="s">
        <v>81</v>
      </c>
      <c r="G244" s="59" t="s">
        <v>82</v>
      </c>
      <c r="H244" s="59" t="n">
        <v>24.783</v>
      </c>
      <c r="I244" s="59" t="n">
        <v>25.098</v>
      </c>
      <c r="J244" s="59" t="n">
        <v>2.267</v>
      </c>
      <c r="K244" s="59"/>
      <c r="L244" s="59"/>
      <c r="M244" s="59"/>
      <c r="N244" s="61" t="b">
        <f aca="false">TRUE()</f>
        <v>1</v>
      </c>
      <c r="O244" s="59" t="n">
        <v>0.078</v>
      </c>
      <c r="P244" s="61" t="b">
        <f aca="false">TRUE()</f>
        <v>1</v>
      </c>
      <c r="Q244" s="59" t="n">
        <v>1</v>
      </c>
      <c r="R244" s="59" t="n">
        <v>40</v>
      </c>
      <c r="S244" s="59"/>
      <c r="T244" s="59"/>
      <c r="U244" s="59"/>
      <c r="V244" s="59" t="n">
        <v>79.157</v>
      </c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 t="s">
        <v>83</v>
      </c>
      <c r="AH244" s="59" t="s">
        <v>84</v>
      </c>
    </row>
    <row r="245" customFormat="false" ht="15.75" hidden="false" customHeight="false" outlineLevel="0" collapsed="false">
      <c r="A245" s="59" t="n">
        <v>38</v>
      </c>
      <c r="B245" s="59" t="s">
        <v>108</v>
      </c>
      <c r="C245" s="61" t="b">
        <f aca="false">FALSE()</f>
        <v>0</v>
      </c>
      <c r="D245" s="59" t="n">
        <v>10</v>
      </c>
      <c r="E245" s="59" t="s">
        <v>42</v>
      </c>
      <c r="F245" s="59" t="s">
        <v>81</v>
      </c>
      <c r="G245" s="59" t="s">
        <v>82</v>
      </c>
      <c r="H245" s="59" t="n">
        <v>26.402</v>
      </c>
      <c r="I245" s="59" t="n">
        <v>25.098</v>
      </c>
      <c r="J245" s="59" t="n">
        <v>2.267</v>
      </c>
      <c r="K245" s="59"/>
      <c r="L245" s="59"/>
      <c r="M245" s="59"/>
      <c r="N245" s="61" t="b">
        <f aca="false">TRUE()</f>
        <v>1</v>
      </c>
      <c r="O245" s="59" t="n">
        <v>0.078</v>
      </c>
      <c r="P245" s="61" t="b">
        <f aca="false">TRUE()</f>
        <v>1</v>
      </c>
      <c r="Q245" s="59" t="n">
        <v>1</v>
      </c>
      <c r="R245" s="59" t="n">
        <v>40</v>
      </c>
      <c r="S245" s="59"/>
      <c r="T245" s="59"/>
      <c r="U245" s="59"/>
      <c r="V245" s="59" t="n">
        <v>78.669</v>
      </c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 t="s">
        <v>83</v>
      </c>
      <c r="AH245" s="59" t="s">
        <v>84</v>
      </c>
    </row>
    <row r="246" customFormat="false" ht="15.75" hidden="false" customHeight="false" outlineLevel="0" collapsed="false">
      <c r="A246" s="59" t="n">
        <v>39</v>
      </c>
      <c r="B246" s="59" t="s">
        <v>109</v>
      </c>
      <c r="C246" s="61" t="b">
        <f aca="false">FALSE()</f>
        <v>0</v>
      </c>
      <c r="D246" s="59" t="n">
        <v>1</v>
      </c>
      <c r="E246" s="59" t="s">
        <v>42</v>
      </c>
      <c r="F246" s="59" t="s">
        <v>81</v>
      </c>
      <c r="G246" s="59" t="s">
        <v>82</v>
      </c>
      <c r="H246" s="59" t="n">
        <v>30.076</v>
      </c>
      <c r="I246" s="59" t="n">
        <v>25.098</v>
      </c>
      <c r="J246" s="59" t="n">
        <v>2.267</v>
      </c>
      <c r="K246" s="59"/>
      <c r="L246" s="59"/>
      <c r="M246" s="59"/>
      <c r="N246" s="61" t="b">
        <f aca="false">TRUE()</f>
        <v>1</v>
      </c>
      <c r="O246" s="59" t="n">
        <v>0.078</v>
      </c>
      <c r="P246" s="61" t="b">
        <f aca="false">TRUE()</f>
        <v>1</v>
      </c>
      <c r="Q246" s="59" t="n">
        <v>1</v>
      </c>
      <c r="R246" s="59" t="n">
        <v>40</v>
      </c>
      <c r="S246" s="59"/>
      <c r="T246" s="59"/>
      <c r="U246" s="59"/>
      <c r="V246" s="59" t="n">
        <v>78.474</v>
      </c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 t="s">
        <v>83</v>
      </c>
      <c r="AH246" s="59" t="s">
        <v>84</v>
      </c>
    </row>
    <row r="247" customFormat="false" ht="15.75" hidden="false" customHeight="false" outlineLevel="0" collapsed="false">
      <c r="A247" s="59" t="n">
        <v>40</v>
      </c>
      <c r="B247" s="59" t="s">
        <v>110</v>
      </c>
      <c r="C247" s="61" t="b">
        <f aca="false">FALSE()</f>
        <v>0</v>
      </c>
      <c r="D247" s="59" t="n">
        <v>0.1</v>
      </c>
      <c r="E247" s="59" t="s">
        <v>42</v>
      </c>
      <c r="F247" s="59" t="s">
        <v>81</v>
      </c>
      <c r="G247" s="59" t="s">
        <v>82</v>
      </c>
      <c r="H247" s="59" t="n">
        <v>32.404</v>
      </c>
      <c r="I247" s="59" t="n">
        <v>25.098</v>
      </c>
      <c r="J247" s="59" t="n">
        <v>2.267</v>
      </c>
      <c r="K247" s="59"/>
      <c r="L247" s="59"/>
      <c r="M247" s="59"/>
      <c r="N247" s="61" t="b">
        <f aca="false">TRUE()</f>
        <v>1</v>
      </c>
      <c r="O247" s="59" t="n">
        <v>0.078</v>
      </c>
      <c r="P247" s="61" t="b">
        <f aca="false">TRUE()</f>
        <v>1</v>
      </c>
      <c r="Q247" s="59" t="n">
        <v>1</v>
      </c>
      <c r="R247" s="59" t="n">
        <v>40</v>
      </c>
      <c r="S247" s="59"/>
      <c r="T247" s="59"/>
      <c r="U247" s="59"/>
      <c r="V247" s="59" t="n">
        <v>78.377</v>
      </c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 t="s">
        <v>83</v>
      </c>
      <c r="AH247" s="59" t="s">
        <v>84</v>
      </c>
    </row>
    <row r="248" customFormat="false" ht="15.75" hidden="false" customHeight="false" outlineLevel="0" collapsed="false">
      <c r="A248" s="59" t="n">
        <v>41</v>
      </c>
      <c r="B248" s="59" t="s">
        <v>111</v>
      </c>
      <c r="C248" s="61" t="b">
        <f aca="false">FALSE()</f>
        <v>0</v>
      </c>
      <c r="D248" s="59" t="s">
        <v>3</v>
      </c>
      <c r="E248" s="59" t="s">
        <v>42</v>
      </c>
      <c r="F248" s="59" t="s">
        <v>81</v>
      </c>
      <c r="G248" s="59" t="s">
        <v>82</v>
      </c>
      <c r="H248" s="59" t="n">
        <v>23.932</v>
      </c>
      <c r="I248" s="59" t="n">
        <v>25.098</v>
      </c>
      <c r="J248" s="59" t="n">
        <v>2.267</v>
      </c>
      <c r="K248" s="59"/>
      <c r="L248" s="59"/>
      <c r="M248" s="59"/>
      <c r="N248" s="61" t="b">
        <f aca="false">TRUE()</f>
        <v>1</v>
      </c>
      <c r="O248" s="59" t="n">
        <v>0.078</v>
      </c>
      <c r="P248" s="61" t="b">
        <f aca="false">TRUE()</f>
        <v>1</v>
      </c>
      <c r="Q248" s="59" t="n">
        <v>1</v>
      </c>
      <c r="R248" s="59" t="n">
        <v>40</v>
      </c>
      <c r="S248" s="59"/>
      <c r="T248" s="59"/>
      <c r="U248" s="59"/>
      <c r="V248" s="59" t="n">
        <v>78.767</v>
      </c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 t="s">
        <v>83</v>
      </c>
      <c r="AH248" s="59" t="s">
        <v>84</v>
      </c>
    </row>
    <row r="249" customFormat="false" ht="15.75" hidden="false" customHeight="false" outlineLevel="0" collapsed="false">
      <c r="A249" s="59" t="n">
        <v>42</v>
      </c>
      <c r="B249" s="59" t="s">
        <v>112</v>
      </c>
      <c r="C249" s="61" t="b">
        <f aca="false">FALSE()</f>
        <v>0</v>
      </c>
      <c r="D249" s="59" t="s">
        <v>4</v>
      </c>
      <c r="E249" s="59" t="s">
        <v>42</v>
      </c>
      <c r="F249" s="59" t="s">
        <v>81</v>
      </c>
      <c r="G249" s="59" t="s">
        <v>82</v>
      </c>
      <c r="H249" s="59" t="n">
        <v>24.407</v>
      </c>
      <c r="I249" s="59" t="n">
        <v>25.098</v>
      </c>
      <c r="J249" s="59" t="n">
        <v>2.267</v>
      </c>
      <c r="K249" s="59"/>
      <c r="L249" s="59"/>
      <c r="M249" s="59"/>
      <c r="N249" s="61" t="b">
        <f aca="false">TRUE()</f>
        <v>1</v>
      </c>
      <c r="O249" s="59" t="n">
        <v>0.078</v>
      </c>
      <c r="P249" s="61" t="b">
        <f aca="false">TRUE()</f>
        <v>1</v>
      </c>
      <c r="Q249" s="59" t="n">
        <v>1</v>
      </c>
      <c r="R249" s="59" t="n">
        <v>40</v>
      </c>
      <c r="S249" s="59"/>
      <c r="T249" s="59"/>
      <c r="U249" s="59"/>
      <c r="V249" s="59" t="n">
        <v>78.767</v>
      </c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 t="s">
        <v>83</v>
      </c>
      <c r="AH249" s="59" t="s">
        <v>84</v>
      </c>
    </row>
    <row r="250" customFormat="false" ht="15.75" hidden="false" customHeight="false" outlineLevel="0" collapsed="false">
      <c r="A250" s="59" t="n">
        <v>43</v>
      </c>
      <c r="B250" s="59" t="s">
        <v>113</v>
      </c>
      <c r="C250" s="61" t="b">
        <f aca="false">FALSE()</f>
        <v>0</v>
      </c>
      <c r="D250" s="59" t="s">
        <v>5</v>
      </c>
      <c r="E250" s="59" t="s">
        <v>42</v>
      </c>
      <c r="F250" s="59" t="s">
        <v>81</v>
      </c>
      <c r="G250" s="59" t="s">
        <v>82</v>
      </c>
      <c r="H250" s="59" t="n">
        <v>23.484</v>
      </c>
      <c r="I250" s="59" t="n">
        <v>25.098</v>
      </c>
      <c r="J250" s="59" t="n">
        <v>2.267</v>
      </c>
      <c r="K250" s="59"/>
      <c r="L250" s="59"/>
      <c r="M250" s="59"/>
      <c r="N250" s="61" t="b">
        <f aca="false">TRUE()</f>
        <v>1</v>
      </c>
      <c r="O250" s="59" t="n">
        <v>0.078</v>
      </c>
      <c r="P250" s="61" t="b">
        <f aca="false">TRUE()</f>
        <v>1</v>
      </c>
      <c r="Q250" s="59" t="n">
        <v>1</v>
      </c>
      <c r="R250" s="59" t="n">
        <v>40</v>
      </c>
      <c r="S250" s="59"/>
      <c r="T250" s="59"/>
      <c r="U250" s="59"/>
      <c r="V250" s="59" t="n">
        <v>78.767</v>
      </c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 t="s">
        <v>83</v>
      </c>
      <c r="AH250" s="59" t="s">
        <v>84</v>
      </c>
    </row>
    <row r="251" customFormat="false" ht="15.75" hidden="false" customHeight="false" outlineLevel="0" collapsed="false">
      <c r="A251" s="59" t="n">
        <v>44</v>
      </c>
      <c r="B251" s="59" t="s">
        <v>114</v>
      </c>
      <c r="C251" s="61" t="b">
        <f aca="false">FALSE()</f>
        <v>0</v>
      </c>
      <c r="D251" s="59" t="s">
        <v>6</v>
      </c>
      <c r="E251" s="59" t="s">
        <v>42</v>
      </c>
      <c r="F251" s="59" t="s">
        <v>81</v>
      </c>
      <c r="G251" s="59" t="s">
        <v>82</v>
      </c>
      <c r="H251" s="59" t="n">
        <v>24.321</v>
      </c>
      <c r="I251" s="59" t="n">
        <v>25.098</v>
      </c>
      <c r="J251" s="59" t="n">
        <v>2.267</v>
      </c>
      <c r="K251" s="59"/>
      <c r="L251" s="59"/>
      <c r="M251" s="59"/>
      <c r="N251" s="61" t="b">
        <f aca="false">TRUE()</f>
        <v>1</v>
      </c>
      <c r="O251" s="59" t="n">
        <v>0.078</v>
      </c>
      <c r="P251" s="61" t="b">
        <f aca="false">TRUE()</f>
        <v>1</v>
      </c>
      <c r="Q251" s="59" t="n">
        <v>1</v>
      </c>
      <c r="R251" s="59" t="n">
        <v>40</v>
      </c>
      <c r="S251" s="59"/>
      <c r="T251" s="59"/>
      <c r="U251" s="59"/>
      <c r="V251" s="59" t="n">
        <v>78.767</v>
      </c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 t="s">
        <v>83</v>
      </c>
      <c r="AH251" s="59" t="s">
        <v>84</v>
      </c>
    </row>
    <row r="252" customFormat="false" ht="15.75" hidden="false" customHeight="false" outlineLevel="0" collapsed="false">
      <c r="A252" s="59" t="n">
        <v>45</v>
      </c>
      <c r="B252" s="59" t="s">
        <v>115</v>
      </c>
      <c r="C252" s="61" t="b">
        <f aca="false">FALSE()</f>
        <v>0</v>
      </c>
      <c r="D252" s="59" t="s">
        <v>7</v>
      </c>
      <c r="E252" s="59" t="s">
        <v>42</v>
      </c>
      <c r="F252" s="59" t="s">
        <v>81</v>
      </c>
      <c r="G252" s="59" t="s">
        <v>82</v>
      </c>
      <c r="H252" s="59" t="n">
        <v>24.602</v>
      </c>
      <c r="I252" s="59" t="n">
        <v>25.098</v>
      </c>
      <c r="J252" s="59" t="n">
        <v>2.267</v>
      </c>
      <c r="K252" s="59"/>
      <c r="L252" s="59"/>
      <c r="M252" s="59"/>
      <c r="N252" s="61" t="b">
        <f aca="false">TRUE()</f>
        <v>1</v>
      </c>
      <c r="O252" s="59" t="n">
        <v>0.078</v>
      </c>
      <c r="P252" s="61" t="b">
        <f aca="false">TRUE()</f>
        <v>1</v>
      </c>
      <c r="Q252" s="59" t="n">
        <v>1</v>
      </c>
      <c r="R252" s="59" t="n">
        <v>40</v>
      </c>
      <c r="S252" s="59"/>
      <c r="T252" s="59"/>
      <c r="U252" s="59"/>
      <c r="V252" s="59" t="n">
        <v>78.767</v>
      </c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 t="s">
        <v>83</v>
      </c>
      <c r="AH252" s="59" t="s">
        <v>84</v>
      </c>
    </row>
    <row r="253" customFormat="false" ht="15.75" hidden="false" customHeight="false" outlineLevel="0" collapsed="false">
      <c r="A253" s="59" t="n">
        <v>46</v>
      </c>
      <c r="B253" s="59" t="s">
        <v>116</v>
      </c>
      <c r="C253" s="61" t="b">
        <f aca="false">FALSE()</f>
        <v>0</v>
      </c>
      <c r="D253" s="59" t="s">
        <v>8</v>
      </c>
      <c r="E253" s="59" t="s">
        <v>42</v>
      </c>
      <c r="F253" s="59" t="s">
        <v>81</v>
      </c>
      <c r="G253" s="59" t="s">
        <v>82</v>
      </c>
      <c r="H253" s="59" t="n">
        <v>24.163</v>
      </c>
      <c r="I253" s="59" t="n">
        <v>25.098</v>
      </c>
      <c r="J253" s="59" t="n">
        <v>2.267</v>
      </c>
      <c r="K253" s="59"/>
      <c r="L253" s="59"/>
      <c r="M253" s="59"/>
      <c r="N253" s="61" t="b">
        <f aca="false">TRUE()</f>
        <v>1</v>
      </c>
      <c r="O253" s="59" t="n">
        <v>0.078</v>
      </c>
      <c r="P253" s="61" t="b">
        <f aca="false">TRUE()</f>
        <v>1</v>
      </c>
      <c r="Q253" s="59" t="n">
        <v>1</v>
      </c>
      <c r="R253" s="59" t="n">
        <v>40</v>
      </c>
      <c r="S253" s="59"/>
      <c r="T253" s="59"/>
      <c r="U253" s="59"/>
      <c r="V253" s="59" t="n">
        <v>78.669</v>
      </c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 t="s">
        <v>83</v>
      </c>
      <c r="AH253" s="59" t="s">
        <v>84</v>
      </c>
    </row>
    <row r="254" customFormat="false" ht="15.75" hidden="false" customHeight="false" outlineLevel="0" collapsed="false">
      <c r="A254" s="59" t="n">
        <v>47</v>
      </c>
      <c r="B254" s="59" t="s">
        <v>117</v>
      </c>
      <c r="C254" s="61" t="b">
        <f aca="false">FALSE()</f>
        <v>0</v>
      </c>
      <c r="D254" s="59" t="s">
        <v>9</v>
      </c>
      <c r="E254" s="59" t="s">
        <v>42</v>
      </c>
      <c r="F254" s="59" t="s">
        <v>81</v>
      </c>
      <c r="G254" s="59" t="s">
        <v>82</v>
      </c>
      <c r="H254" s="59" t="n">
        <v>23.935</v>
      </c>
      <c r="I254" s="59" t="n">
        <v>25.098</v>
      </c>
      <c r="J254" s="59" t="n">
        <v>2.267</v>
      </c>
      <c r="K254" s="59"/>
      <c r="L254" s="59"/>
      <c r="M254" s="59"/>
      <c r="N254" s="61" t="b">
        <f aca="false">TRUE()</f>
        <v>1</v>
      </c>
      <c r="O254" s="59" t="n">
        <v>0.078</v>
      </c>
      <c r="P254" s="61" t="b">
        <f aca="false">TRUE()</f>
        <v>1</v>
      </c>
      <c r="Q254" s="59" t="n">
        <v>1</v>
      </c>
      <c r="R254" s="59" t="n">
        <v>40</v>
      </c>
      <c r="S254" s="59"/>
      <c r="T254" s="59"/>
      <c r="U254" s="59"/>
      <c r="V254" s="59" t="n">
        <v>78.767</v>
      </c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 t="s">
        <v>83</v>
      </c>
      <c r="AH254" s="59" t="s">
        <v>84</v>
      </c>
    </row>
    <row r="255" customFormat="false" ht="15.75" hidden="false" customHeight="false" outlineLevel="0" collapsed="false">
      <c r="A255" s="59" t="n">
        <v>48</v>
      </c>
      <c r="B255" s="59" t="s">
        <v>118</v>
      </c>
      <c r="C255" s="61" t="b">
        <f aca="false">FALSE()</f>
        <v>0</v>
      </c>
      <c r="D255" s="59" t="s">
        <v>10</v>
      </c>
      <c r="E255" s="59" t="s">
        <v>42</v>
      </c>
      <c r="F255" s="59" t="s">
        <v>81</v>
      </c>
      <c r="G255" s="59" t="s">
        <v>82</v>
      </c>
      <c r="H255" s="59" t="n">
        <v>24.721</v>
      </c>
      <c r="I255" s="59" t="n">
        <v>25.098</v>
      </c>
      <c r="J255" s="59" t="n">
        <v>2.267</v>
      </c>
      <c r="K255" s="59"/>
      <c r="L255" s="59"/>
      <c r="M255" s="59"/>
      <c r="N255" s="61" t="b">
        <f aca="false">TRUE()</f>
        <v>1</v>
      </c>
      <c r="O255" s="59" t="n">
        <v>0.078</v>
      </c>
      <c r="P255" s="61" t="b">
        <f aca="false">TRUE()</f>
        <v>1</v>
      </c>
      <c r="Q255" s="59" t="n">
        <v>1</v>
      </c>
      <c r="R255" s="59" t="n">
        <v>40</v>
      </c>
      <c r="S255" s="59"/>
      <c r="T255" s="59"/>
      <c r="U255" s="59"/>
      <c r="V255" s="59" t="n">
        <v>78.669</v>
      </c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 t="s">
        <v>83</v>
      </c>
      <c r="AH255" s="59" t="s">
        <v>84</v>
      </c>
    </row>
    <row r="256" customFormat="false" ht="15.75" hidden="false" customHeight="false" outlineLevel="0" collapsed="false">
      <c r="A256" s="59" t="n">
        <v>53</v>
      </c>
      <c r="B256" s="59" t="s">
        <v>119</v>
      </c>
      <c r="C256" s="61" t="b">
        <f aca="false">FALSE()</f>
        <v>0</v>
      </c>
      <c r="D256" s="59" t="s">
        <v>11</v>
      </c>
      <c r="E256" s="59" t="s">
        <v>42</v>
      </c>
      <c r="F256" s="59" t="s">
        <v>81</v>
      </c>
      <c r="G256" s="59" t="s">
        <v>82</v>
      </c>
      <c r="H256" s="59" t="n">
        <v>24.083</v>
      </c>
      <c r="I256" s="59" t="n">
        <v>25.098</v>
      </c>
      <c r="J256" s="59" t="n">
        <v>2.267</v>
      </c>
      <c r="K256" s="59"/>
      <c r="L256" s="59"/>
      <c r="M256" s="59"/>
      <c r="N256" s="61" t="b">
        <f aca="false">TRUE()</f>
        <v>1</v>
      </c>
      <c r="O256" s="59" t="n">
        <v>0.078</v>
      </c>
      <c r="P256" s="61" t="b">
        <f aca="false">TRUE()</f>
        <v>1</v>
      </c>
      <c r="Q256" s="59" t="n">
        <v>1</v>
      </c>
      <c r="R256" s="59" t="n">
        <v>40</v>
      </c>
      <c r="S256" s="59"/>
      <c r="T256" s="59"/>
      <c r="U256" s="59"/>
      <c r="V256" s="59" t="n">
        <v>78.669</v>
      </c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 t="s">
        <v>83</v>
      </c>
      <c r="AH256" s="59" t="s">
        <v>84</v>
      </c>
    </row>
    <row r="257" customFormat="false" ht="15.75" hidden="false" customHeight="false" outlineLevel="0" collapsed="false">
      <c r="A257" s="59" t="n">
        <v>54</v>
      </c>
      <c r="B257" s="59" t="s">
        <v>120</v>
      </c>
      <c r="C257" s="61" t="b">
        <f aca="false">FALSE()</f>
        <v>0</v>
      </c>
      <c r="D257" s="59" t="s">
        <v>23</v>
      </c>
      <c r="E257" s="59" t="s">
        <v>42</v>
      </c>
      <c r="F257" s="59" t="s">
        <v>81</v>
      </c>
      <c r="G257" s="59" t="s">
        <v>82</v>
      </c>
      <c r="H257" s="59" t="n">
        <v>24.583</v>
      </c>
      <c r="I257" s="59" t="n">
        <v>25.098</v>
      </c>
      <c r="J257" s="59" t="n">
        <v>2.267</v>
      </c>
      <c r="K257" s="59"/>
      <c r="L257" s="59"/>
      <c r="M257" s="59"/>
      <c r="N257" s="61" t="b">
        <f aca="false">TRUE()</f>
        <v>1</v>
      </c>
      <c r="O257" s="59" t="n">
        <v>0.078</v>
      </c>
      <c r="P257" s="61" t="b">
        <f aca="false">TRUE()</f>
        <v>1</v>
      </c>
      <c r="Q257" s="59" t="n">
        <v>1</v>
      </c>
      <c r="R257" s="59" t="n">
        <v>40</v>
      </c>
      <c r="S257" s="59"/>
      <c r="T257" s="59"/>
      <c r="U257" s="59"/>
      <c r="V257" s="59" t="n">
        <v>78.767</v>
      </c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 t="s">
        <v>83</v>
      </c>
      <c r="AH257" s="59" t="s">
        <v>84</v>
      </c>
    </row>
    <row r="258" customFormat="false" ht="15.75" hidden="false" customHeight="false" outlineLevel="0" collapsed="false">
      <c r="A258" s="59" t="n">
        <v>55</v>
      </c>
      <c r="B258" s="59" t="s">
        <v>121</v>
      </c>
      <c r="C258" s="61" t="b">
        <f aca="false">FALSE()</f>
        <v>0</v>
      </c>
      <c r="D258" s="59" t="s">
        <v>24</v>
      </c>
      <c r="E258" s="59" t="s">
        <v>42</v>
      </c>
      <c r="F258" s="59" t="s">
        <v>81</v>
      </c>
      <c r="G258" s="59" t="s">
        <v>82</v>
      </c>
      <c r="H258" s="59" t="n">
        <v>24.854</v>
      </c>
      <c r="I258" s="59" t="n">
        <v>25.098</v>
      </c>
      <c r="J258" s="59" t="n">
        <v>2.267</v>
      </c>
      <c r="K258" s="59"/>
      <c r="L258" s="59"/>
      <c r="M258" s="59"/>
      <c r="N258" s="61" t="b">
        <f aca="false">TRUE()</f>
        <v>1</v>
      </c>
      <c r="O258" s="59" t="n">
        <v>0.078</v>
      </c>
      <c r="P258" s="61" t="b">
        <f aca="false">TRUE()</f>
        <v>1</v>
      </c>
      <c r="Q258" s="59" t="n">
        <v>1</v>
      </c>
      <c r="R258" s="59" t="n">
        <v>40</v>
      </c>
      <c r="S258" s="59"/>
      <c r="T258" s="59"/>
      <c r="U258" s="59"/>
      <c r="V258" s="59" t="n">
        <v>78.864</v>
      </c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 t="s">
        <v>83</v>
      </c>
      <c r="AH258" s="59" t="s">
        <v>84</v>
      </c>
    </row>
    <row r="259" customFormat="false" ht="15.75" hidden="false" customHeight="false" outlineLevel="0" collapsed="false">
      <c r="A259" s="59" t="n">
        <v>56</v>
      </c>
      <c r="B259" s="59" t="s">
        <v>122</v>
      </c>
      <c r="C259" s="61" t="b">
        <f aca="false">FALSE()</f>
        <v>0</v>
      </c>
      <c r="D259" s="59" t="s">
        <v>25</v>
      </c>
      <c r="E259" s="59" t="s">
        <v>42</v>
      </c>
      <c r="F259" s="59" t="s">
        <v>81</v>
      </c>
      <c r="G259" s="59" t="s">
        <v>82</v>
      </c>
      <c r="H259" s="59" t="n">
        <v>24.784</v>
      </c>
      <c r="I259" s="59" t="n">
        <v>25.098</v>
      </c>
      <c r="J259" s="59" t="n">
        <v>2.267</v>
      </c>
      <c r="K259" s="59"/>
      <c r="L259" s="59"/>
      <c r="M259" s="59"/>
      <c r="N259" s="61" t="b">
        <f aca="false">TRUE()</f>
        <v>1</v>
      </c>
      <c r="O259" s="59" t="n">
        <v>0.078</v>
      </c>
      <c r="P259" s="61" t="b">
        <f aca="false">TRUE()</f>
        <v>1</v>
      </c>
      <c r="Q259" s="59" t="n">
        <v>1</v>
      </c>
      <c r="R259" s="59" t="n">
        <v>40</v>
      </c>
      <c r="S259" s="59"/>
      <c r="T259" s="59"/>
      <c r="U259" s="59"/>
      <c r="V259" s="59" t="n">
        <v>78.669</v>
      </c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 t="s">
        <v>83</v>
      </c>
      <c r="AH259" s="59" t="s">
        <v>84</v>
      </c>
    </row>
    <row r="260" customFormat="false" ht="15.75" hidden="false" customHeight="false" outlineLevel="0" collapsed="false">
      <c r="A260" s="59" t="n">
        <v>57</v>
      </c>
      <c r="B260" s="59" t="s">
        <v>123</v>
      </c>
      <c r="C260" s="61" t="b">
        <f aca="false">FALSE()</f>
        <v>0</v>
      </c>
      <c r="D260" s="59" t="s">
        <v>26</v>
      </c>
      <c r="E260" s="59" t="s">
        <v>42</v>
      </c>
      <c r="F260" s="59" t="s">
        <v>81</v>
      </c>
      <c r="G260" s="59" t="s">
        <v>82</v>
      </c>
      <c r="H260" s="59" t="n">
        <v>24.209</v>
      </c>
      <c r="I260" s="59" t="n">
        <v>25.098</v>
      </c>
      <c r="J260" s="59" t="n">
        <v>2.267</v>
      </c>
      <c r="K260" s="59"/>
      <c r="L260" s="59"/>
      <c r="M260" s="59"/>
      <c r="N260" s="61" t="b">
        <f aca="false">TRUE()</f>
        <v>1</v>
      </c>
      <c r="O260" s="59" t="n">
        <v>0.078</v>
      </c>
      <c r="P260" s="61" t="b">
        <f aca="false">TRUE()</f>
        <v>1</v>
      </c>
      <c r="Q260" s="59" t="n">
        <v>1</v>
      </c>
      <c r="R260" s="59" t="n">
        <v>40</v>
      </c>
      <c r="S260" s="59"/>
      <c r="T260" s="59"/>
      <c r="U260" s="59"/>
      <c r="V260" s="59" t="n">
        <v>78.767</v>
      </c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 t="s">
        <v>83</v>
      </c>
      <c r="AH260" s="59" t="s">
        <v>84</v>
      </c>
    </row>
    <row r="261" customFormat="false" ht="15.75" hidden="false" customHeight="false" outlineLevel="0" collapsed="false">
      <c r="A261" s="59" t="n">
        <v>58</v>
      </c>
      <c r="B261" s="59" t="s">
        <v>124</v>
      </c>
      <c r="C261" s="61" t="b">
        <f aca="false">FALSE()</f>
        <v>0</v>
      </c>
      <c r="D261" s="59" t="s">
        <v>27</v>
      </c>
      <c r="E261" s="59" t="s">
        <v>42</v>
      </c>
      <c r="F261" s="59" t="s">
        <v>81</v>
      </c>
      <c r="G261" s="59" t="s">
        <v>82</v>
      </c>
      <c r="H261" s="59" t="n">
        <v>23.534</v>
      </c>
      <c r="I261" s="59" t="n">
        <v>25.098</v>
      </c>
      <c r="J261" s="59" t="n">
        <v>2.267</v>
      </c>
      <c r="K261" s="59"/>
      <c r="L261" s="59"/>
      <c r="M261" s="59"/>
      <c r="N261" s="61" t="b">
        <f aca="false">TRUE()</f>
        <v>1</v>
      </c>
      <c r="O261" s="59" t="n">
        <v>0.078</v>
      </c>
      <c r="P261" s="61" t="b">
        <f aca="false">TRUE()</f>
        <v>1</v>
      </c>
      <c r="Q261" s="59" t="n">
        <v>1</v>
      </c>
      <c r="R261" s="59" t="n">
        <v>40</v>
      </c>
      <c r="S261" s="59"/>
      <c r="T261" s="59"/>
      <c r="U261" s="59"/>
      <c r="V261" s="59" t="n">
        <v>78.767</v>
      </c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 t="s">
        <v>83</v>
      </c>
      <c r="AH261" s="59" t="s">
        <v>84</v>
      </c>
    </row>
    <row r="262" customFormat="false" ht="15.75" hidden="false" customHeight="false" outlineLevel="0" collapsed="false">
      <c r="A262" s="59" t="n">
        <v>59</v>
      </c>
      <c r="B262" s="59" t="s">
        <v>125</v>
      </c>
      <c r="C262" s="61" t="b">
        <f aca="false">FALSE()</f>
        <v>0</v>
      </c>
      <c r="D262" s="59" t="s">
        <v>28</v>
      </c>
      <c r="E262" s="59" t="s">
        <v>42</v>
      </c>
      <c r="F262" s="59" t="s">
        <v>81</v>
      </c>
      <c r="G262" s="59" t="s">
        <v>82</v>
      </c>
      <c r="H262" s="59" t="n">
        <v>24.973</v>
      </c>
      <c r="I262" s="59" t="n">
        <v>25.098</v>
      </c>
      <c r="J262" s="59" t="n">
        <v>2.267</v>
      </c>
      <c r="K262" s="59"/>
      <c r="L262" s="59"/>
      <c r="M262" s="59"/>
      <c r="N262" s="61" t="b">
        <f aca="false">TRUE()</f>
        <v>1</v>
      </c>
      <c r="O262" s="59" t="n">
        <v>0.078</v>
      </c>
      <c r="P262" s="61" t="b">
        <f aca="false">TRUE()</f>
        <v>1</v>
      </c>
      <c r="Q262" s="59" t="n">
        <v>1</v>
      </c>
      <c r="R262" s="59" t="n">
        <v>40</v>
      </c>
      <c r="S262" s="59"/>
      <c r="T262" s="59"/>
      <c r="U262" s="59"/>
      <c r="V262" s="59" t="n">
        <v>78.669</v>
      </c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 t="s">
        <v>83</v>
      </c>
      <c r="AH262" s="59" t="s">
        <v>84</v>
      </c>
    </row>
    <row r="263" customFormat="false" ht="15.75" hidden="false" customHeight="false" outlineLevel="0" collapsed="false">
      <c r="A263" s="59" t="n">
        <v>60</v>
      </c>
      <c r="B263" s="59" t="s">
        <v>126</v>
      </c>
      <c r="C263" s="61" t="b">
        <f aca="false">FALSE()</f>
        <v>0</v>
      </c>
      <c r="D263" s="59" t="s">
        <v>29</v>
      </c>
      <c r="E263" s="59" t="s">
        <v>42</v>
      </c>
      <c r="F263" s="59" t="s">
        <v>81</v>
      </c>
      <c r="G263" s="59" t="s">
        <v>82</v>
      </c>
      <c r="H263" s="59" t="n">
        <v>24.253</v>
      </c>
      <c r="I263" s="59" t="n">
        <v>25.098</v>
      </c>
      <c r="J263" s="59" t="n">
        <v>2.267</v>
      </c>
      <c r="K263" s="59"/>
      <c r="L263" s="59"/>
      <c r="M263" s="59"/>
      <c r="N263" s="61" t="b">
        <f aca="false">TRUE()</f>
        <v>1</v>
      </c>
      <c r="O263" s="59" t="n">
        <v>0.078</v>
      </c>
      <c r="P263" s="61" t="b">
        <f aca="false">TRUE()</f>
        <v>1</v>
      </c>
      <c r="Q263" s="59" t="n">
        <v>1</v>
      </c>
      <c r="R263" s="59" t="n">
        <v>40</v>
      </c>
      <c r="S263" s="59"/>
      <c r="T263" s="59"/>
      <c r="U263" s="59"/>
      <c r="V263" s="59" t="n">
        <v>78.669</v>
      </c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 t="s">
        <v>83</v>
      </c>
      <c r="AH263" s="59" t="s">
        <v>84</v>
      </c>
    </row>
    <row r="264" customFormat="false" ht="15.75" hidden="false" customHeight="false" outlineLevel="0" collapsed="false">
      <c r="A264" s="59" t="n">
        <v>65</v>
      </c>
      <c r="B264" s="59" t="s">
        <v>127</v>
      </c>
      <c r="C264" s="61" t="b">
        <f aca="false">FALSE()</f>
        <v>0</v>
      </c>
      <c r="D264" s="59" t="s">
        <v>30</v>
      </c>
      <c r="E264" s="59" t="s">
        <v>42</v>
      </c>
      <c r="F264" s="59" t="s">
        <v>81</v>
      </c>
      <c r="G264" s="59" t="s">
        <v>82</v>
      </c>
      <c r="H264" s="59" t="n">
        <v>24.39</v>
      </c>
      <c r="I264" s="59" t="n">
        <v>25.098</v>
      </c>
      <c r="J264" s="59" t="n">
        <v>2.267</v>
      </c>
      <c r="K264" s="59"/>
      <c r="L264" s="59"/>
      <c r="M264" s="59"/>
      <c r="N264" s="61" t="b">
        <f aca="false">TRUE()</f>
        <v>1</v>
      </c>
      <c r="O264" s="59" t="n">
        <v>0.078</v>
      </c>
      <c r="P264" s="61" t="b">
        <f aca="false">TRUE()</f>
        <v>1</v>
      </c>
      <c r="Q264" s="59" t="n">
        <v>1</v>
      </c>
      <c r="R264" s="59" t="n">
        <v>40</v>
      </c>
      <c r="S264" s="59"/>
      <c r="T264" s="59"/>
      <c r="U264" s="59"/>
      <c r="V264" s="59" t="n">
        <v>78.767</v>
      </c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 t="s">
        <v>83</v>
      </c>
      <c r="AH264" s="59" t="s">
        <v>84</v>
      </c>
    </row>
    <row r="265" customFormat="false" ht="15.75" hidden="false" customHeight="false" outlineLevel="0" collapsed="false">
      <c r="A265" s="59" t="n">
        <v>66</v>
      </c>
      <c r="B265" s="59" t="s">
        <v>128</v>
      </c>
      <c r="C265" s="61" t="b">
        <f aca="false">FALSE()</f>
        <v>0</v>
      </c>
      <c r="D265" s="59" t="s">
        <v>31</v>
      </c>
      <c r="E265" s="59" t="s">
        <v>42</v>
      </c>
      <c r="F265" s="59" t="s">
        <v>81</v>
      </c>
      <c r="G265" s="59" t="s">
        <v>82</v>
      </c>
      <c r="H265" s="59" t="n">
        <v>24.773</v>
      </c>
      <c r="I265" s="59" t="n">
        <v>25.098</v>
      </c>
      <c r="J265" s="59" t="n">
        <v>2.267</v>
      </c>
      <c r="K265" s="59"/>
      <c r="L265" s="59"/>
      <c r="M265" s="59"/>
      <c r="N265" s="61" t="b">
        <f aca="false">TRUE()</f>
        <v>1</v>
      </c>
      <c r="O265" s="59" t="n">
        <v>0.078</v>
      </c>
      <c r="P265" s="61" t="b">
        <f aca="false">TRUE()</f>
        <v>1</v>
      </c>
      <c r="Q265" s="59" t="n">
        <v>1</v>
      </c>
      <c r="R265" s="59" t="n">
        <v>40</v>
      </c>
      <c r="S265" s="59"/>
      <c r="T265" s="59"/>
      <c r="U265" s="59"/>
      <c r="V265" s="59" t="n">
        <v>78.767</v>
      </c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 t="s">
        <v>83</v>
      </c>
      <c r="AH265" s="59" t="s">
        <v>84</v>
      </c>
    </row>
    <row r="266" customFormat="false" ht="15.75" hidden="false" customHeight="false" outlineLevel="0" collapsed="false">
      <c r="A266" s="59" t="n">
        <v>1</v>
      </c>
      <c r="B266" s="59" t="s">
        <v>80</v>
      </c>
      <c r="C266" s="61" t="b">
        <f aca="false">FALSE()</f>
        <v>0</v>
      </c>
      <c r="D266" s="59" t="n">
        <v>100</v>
      </c>
      <c r="E266" s="59" t="s">
        <v>43</v>
      </c>
      <c r="F266" s="59" t="s">
        <v>81</v>
      </c>
      <c r="G266" s="59" t="s">
        <v>82</v>
      </c>
      <c r="H266" s="59" t="n">
        <v>26.475</v>
      </c>
      <c r="I266" s="59" t="n">
        <v>26.001</v>
      </c>
      <c r="J266" s="59" t="n">
        <v>3.061</v>
      </c>
      <c r="K266" s="59"/>
      <c r="L266" s="59"/>
      <c r="M266" s="59"/>
      <c r="N266" s="61" t="b">
        <f aca="false">TRUE()</f>
        <v>1</v>
      </c>
      <c r="O266" s="59" t="n">
        <v>0.163</v>
      </c>
      <c r="P266" s="61" t="b">
        <f aca="false">TRUE()</f>
        <v>1</v>
      </c>
      <c r="Q266" s="59" t="n">
        <v>1</v>
      </c>
      <c r="R266" s="59" t="n">
        <v>40</v>
      </c>
      <c r="S266" s="59"/>
      <c r="T266" s="59"/>
      <c r="U266" s="59"/>
      <c r="V266" s="59" t="n">
        <v>83.347</v>
      </c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 t="s">
        <v>83</v>
      </c>
      <c r="AH266" s="59" t="s">
        <v>84</v>
      </c>
    </row>
    <row r="267" customFormat="false" ht="15.75" hidden="false" customHeight="false" outlineLevel="0" collapsed="false">
      <c r="A267" s="59" t="n">
        <v>2</v>
      </c>
      <c r="B267" s="59" t="s">
        <v>85</v>
      </c>
      <c r="C267" s="61" t="b">
        <f aca="false">FALSE()</f>
        <v>0</v>
      </c>
      <c r="D267" s="59" t="n">
        <v>10</v>
      </c>
      <c r="E267" s="59" t="s">
        <v>43</v>
      </c>
      <c r="F267" s="59" t="s">
        <v>81</v>
      </c>
      <c r="G267" s="59" t="s">
        <v>82</v>
      </c>
      <c r="H267" s="59" t="n">
        <v>29.713</v>
      </c>
      <c r="I267" s="59" t="n">
        <v>26.001</v>
      </c>
      <c r="J267" s="59" t="n">
        <v>3.061</v>
      </c>
      <c r="K267" s="59"/>
      <c r="L267" s="59"/>
      <c r="M267" s="59"/>
      <c r="N267" s="61" t="b">
        <f aca="false">TRUE()</f>
        <v>1</v>
      </c>
      <c r="O267" s="59" t="n">
        <v>0.163</v>
      </c>
      <c r="P267" s="61" t="b">
        <f aca="false">TRUE()</f>
        <v>1</v>
      </c>
      <c r="Q267" s="59" t="n">
        <v>1</v>
      </c>
      <c r="R267" s="59" t="n">
        <v>40</v>
      </c>
      <c r="S267" s="59"/>
      <c r="T267" s="59"/>
      <c r="U267" s="59"/>
      <c r="V267" s="59" t="n">
        <v>82.86</v>
      </c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 t="s">
        <v>83</v>
      </c>
      <c r="AH267" s="59" t="s">
        <v>84</v>
      </c>
    </row>
    <row r="268" customFormat="false" ht="15.75" hidden="false" customHeight="false" outlineLevel="0" collapsed="false">
      <c r="A268" s="59" t="n">
        <v>3</v>
      </c>
      <c r="B268" s="59" t="s">
        <v>86</v>
      </c>
      <c r="C268" s="61" t="b">
        <f aca="false">FALSE()</f>
        <v>0</v>
      </c>
      <c r="D268" s="59" t="n">
        <v>1</v>
      </c>
      <c r="E268" s="59" t="s">
        <v>43</v>
      </c>
      <c r="F268" s="59" t="s">
        <v>81</v>
      </c>
      <c r="G268" s="59" t="s">
        <v>82</v>
      </c>
      <c r="H268" s="59" t="n">
        <v>32.776</v>
      </c>
      <c r="I268" s="59" t="n">
        <v>26.001</v>
      </c>
      <c r="J268" s="59" t="n">
        <v>3.061</v>
      </c>
      <c r="K268" s="59"/>
      <c r="L268" s="59"/>
      <c r="M268" s="59"/>
      <c r="N268" s="61" t="b">
        <f aca="false">TRUE()</f>
        <v>1</v>
      </c>
      <c r="O268" s="59" t="n">
        <v>0.163</v>
      </c>
      <c r="P268" s="61" t="b">
        <f aca="false">TRUE()</f>
        <v>1</v>
      </c>
      <c r="Q268" s="59" t="n">
        <v>1</v>
      </c>
      <c r="R268" s="59" t="n">
        <v>40</v>
      </c>
      <c r="S268" s="59"/>
      <c r="T268" s="59"/>
      <c r="U268" s="59"/>
      <c r="V268" s="59" t="n">
        <v>82.762</v>
      </c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 t="s">
        <v>83</v>
      </c>
      <c r="AH268" s="59" t="s">
        <v>84</v>
      </c>
    </row>
    <row r="269" customFormat="false" ht="15.75" hidden="false" customHeight="false" outlineLevel="0" collapsed="false">
      <c r="A269" s="59" t="n">
        <v>4</v>
      </c>
      <c r="B269" s="59" t="s">
        <v>87</v>
      </c>
      <c r="C269" s="61" t="b">
        <f aca="false">FALSE()</f>
        <v>0</v>
      </c>
      <c r="D269" s="59" t="n">
        <v>0.1</v>
      </c>
      <c r="E269" s="59" t="s">
        <v>43</v>
      </c>
      <c r="F269" s="59" t="s">
        <v>81</v>
      </c>
      <c r="G269" s="59" t="s">
        <v>82</v>
      </c>
      <c r="H269" s="59" t="n">
        <v>35.97</v>
      </c>
      <c r="I269" s="59" t="n">
        <v>26.001</v>
      </c>
      <c r="J269" s="59" t="n">
        <v>3.061</v>
      </c>
      <c r="K269" s="59"/>
      <c r="L269" s="59"/>
      <c r="M269" s="59"/>
      <c r="N269" s="61" t="b">
        <f aca="false">TRUE()</f>
        <v>1</v>
      </c>
      <c r="O269" s="59" t="n">
        <v>0.163</v>
      </c>
      <c r="P269" s="61" t="b">
        <f aca="false">TRUE()</f>
        <v>1</v>
      </c>
      <c r="Q269" s="59" t="n">
        <v>1</v>
      </c>
      <c r="R269" s="59" t="n">
        <v>40</v>
      </c>
      <c r="S269" s="59"/>
      <c r="T269" s="59"/>
      <c r="U269" s="59"/>
      <c r="V269" s="59" t="n">
        <v>82.762</v>
      </c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 t="s">
        <v>83</v>
      </c>
      <c r="AH269" s="59" t="s">
        <v>83</v>
      </c>
    </row>
    <row r="270" customFormat="false" ht="15.75" hidden="false" customHeight="false" outlineLevel="0" collapsed="false">
      <c r="A270" s="59" t="n">
        <v>5</v>
      </c>
      <c r="B270" s="59" t="s">
        <v>89</v>
      </c>
      <c r="C270" s="61" t="b">
        <f aca="false">FALSE()</f>
        <v>0</v>
      </c>
      <c r="D270" s="59" t="s">
        <v>3</v>
      </c>
      <c r="E270" s="59" t="s">
        <v>43</v>
      </c>
      <c r="F270" s="59" t="s">
        <v>81</v>
      </c>
      <c r="G270" s="59" t="s">
        <v>82</v>
      </c>
      <c r="H270" s="59" t="n">
        <v>26.829</v>
      </c>
      <c r="I270" s="59" t="n">
        <v>26.001</v>
      </c>
      <c r="J270" s="59" t="n">
        <v>3.061</v>
      </c>
      <c r="K270" s="59"/>
      <c r="L270" s="59"/>
      <c r="M270" s="59"/>
      <c r="N270" s="61" t="b">
        <f aca="false">TRUE()</f>
        <v>1</v>
      </c>
      <c r="O270" s="59" t="n">
        <v>0.163</v>
      </c>
      <c r="P270" s="61" t="b">
        <f aca="false">TRUE()</f>
        <v>1</v>
      </c>
      <c r="Q270" s="59" t="n">
        <v>1</v>
      </c>
      <c r="R270" s="59" t="n">
        <v>40</v>
      </c>
      <c r="S270" s="59"/>
      <c r="T270" s="59"/>
      <c r="U270" s="59"/>
      <c r="V270" s="59" t="n">
        <v>83.054</v>
      </c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 t="s">
        <v>83</v>
      </c>
      <c r="AH270" s="59" t="s">
        <v>84</v>
      </c>
    </row>
    <row r="271" customFormat="false" ht="15.75" hidden="false" customHeight="false" outlineLevel="0" collapsed="false">
      <c r="A271" s="59" t="n">
        <v>6</v>
      </c>
      <c r="B271" s="59" t="s">
        <v>90</v>
      </c>
      <c r="C271" s="61" t="b">
        <f aca="false">FALSE()</f>
        <v>0</v>
      </c>
      <c r="D271" s="59" t="s">
        <v>4</v>
      </c>
      <c r="E271" s="59" t="s">
        <v>43</v>
      </c>
      <c r="F271" s="59" t="s">
        <v>81</v>
      </c>
      <c r="G271" s="59" t="s">
        <v>82</v>
      </c>
      <c r="H271" s="59" t="n">
        <v>27.075</v>
      </c>
      <c r="I271" s="59" t="n">
        <v>26.001</v>
      </c>
      <c r="J271" s="59" t="n">
        <v>3.061</v>
      </c>
      <c r="K271" s="59"/>
      <c r="L271" s="59"/>
      <c r="M271" s="59"/>
      <c r="N271" s="61" t="b">
        <f aca="false">TRUE()</f>
        <v>1</v>
      </c>
      <c r="O271" s="59" t="n">
        <v>0.163</v>
      </c>
      <c r="P271" s="61" t="b">
        <f aca="false">TRUE()</f>
        <v>1</v>
      </c>
      <c r="Q271" s="59" t="n">
        <v>1</v>
      </c>
      <c r="R271" s="59" t="n">
        <v>40</v>
      </c>
      <c r="S271" s="59"/>
      <c r="T271" s="59"/>
      <c r="U271" s="59"/>
      <c r="V271" s="59" t="n">
        <v>83.249</v>
      </c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 t="s">
        <v>83</v>
      </c>
      <c r="AH271" s="59" t="s">
        <v>84</v>
      </c>
    </row>
    <row r="272" customFormat="false" ht="15.75" hidden="false" customHeight="false" outlineLevel="0" collapsed="false">
      <c r="A272" s="59" t="n">
        <v>7</v>
      </c>
      <c r="B272" s="59" t="s">
        <v>91</v>
      </c>
      <c r="C272" s="61" t="b">
        <f aca="false">FALSE()</f>
        <v>0</v>
      </c>
      <c r="D272" s="59" t="s">
        <v>5</v>
      </c>
      <c r="E272" s="59" t="s">
        <v>43</v>
      </c>
      <c r="F272" s="59" t="s">
        <v>81</v>
      </c>
      <c r="G272" s="59" t="s">
        <v>82</v>
      </c>
      <c r="H272" s="59" t="n">
        <v>26.751</v>
      </c>
      <c r="I272" s="59" t="n">
        <v>26.001</v>
      </c>
      <c r="J272" s="59" t="n">
        <v>3.061</v>
      </c>
      <c r="K272" s="59"/>
      <c r="L272" s="59"/>
      <c r="M272" s="59"/>
      <c r="N272" s="61" t="b">
        <f aca="false">TRUE()</f>
        <v>1</v>
      </c>
      <c r="O272" s="59" t="n">
        <v>0.163</v>
      </c>
      <c r="P272" s="61" t="b">
        <f aca="false">TRUE()</f>
        <v>1</v>
      </c>
      <c r="Q272" s="59" t="n">
        <v>1</v>
      </c>
      <c r="R272" s="59" t="n">
        <v>40</v>
      </c>
      <c r="S272" s="59"/>
      <c r="T272" s="59"/>
      <c r="U272" s="59"/>
      <c r="V272" s="59" t="n">
        <v>83.249</v>
      </c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 t="s">
        <v>83</v>
      </c>
      <c r="AH272" s="59" t="s">
        <v>84</v>
      </c>
    </row>
    <row r="273" customFormat="false" ht="15.75" hidden="false" customHeight="false" outlineLevel="0" collapsed="false">
      <c r="A273" s="59" t="n">
        <v>8</v>
      </c>
      <c r="B273" s="59" t="s">
        <v>92</v>
      </c>
      <c r="C273" s="61" t="b">
        <f aca="false">FALSE()</f>
        <v>0</v>
      </c>
      <c r="D273" s="59" t="s">
        <v>6</v>
      </c>
      <c r="E273" s="59" t="s">
        <v>43</v>
      </c>
      <c r="F273" s="59" t="s">
        <v>81</v>
      </c>
      <c r="G273" s="59" t="s">
        <v>82</v>
      </c>
      <c r="H273" s="59" t="n">
        <v>27.65</v>
      </c>
      <c r="I273" s="59" t="n">
        <v>26.001</v>
      </c>
      <c r="J273" s="59" t="n">
        <v>3.061</v>
      </c>
      <c r="K273" s="59"/>
      <c r="L273" s="59"/>
      <c r="M273" s="59"/>
      <c r="N273" s="61" t="b">
        <f aca="false">TRUE()</f>
        <v>1</v>
      </c>
      <c r="O273" s="59" t="n">
        <v>0.163</v>
      </c>
      <c r="P273" s="61" t="b">
        <f aca="false">TRUE()</f>
        <v>1</v>
      </c>
      <c r="Q273" s="59" t="n">
        <v>1</v>
      </c>
      <c r="R273" s="59" t="n">
        <v>40</v>
      </c>
      <c r="S273" s="59"/>
      <c r="T273" s="59"/>
      <c r="U273" s="59"/>
      <c r="V273" s="59" t="n">
        <v>83.152</v>
      </c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 t="s">
        <v>83</v>
      </c>
      <c r="AH273" s="59" t="s">
        <v>84</v>
      </c>
    </row>
    <row r="274" customFormat="false" ht="15.75" hidden="false" customHeight="false" outlineLevel="0" collapsed="false">
      <c r="A274" s="59" t="n">
        <v>9</v>
      </c>
      <c r="B274" s="59" t="s">
        <v>93</v>
      </c>
      <c r="C274" s="61" t="b">
        <f aca="false">FALSE()</f>
        <v>0</v>
      </c>
      <c r="D274" s="59" t="s">
        <v>7</v>
      </c>
      <c r="E274" s="59" t="s">
        <v>43</v>
      </c>
      <c r="F274" s="59" t="s">
        <v>81</v>
      </c>
      <c r="G274" s="59" t="s">
        <v>82</v>
      </c>
      <c r="H274" s="59" t="n">
        <v>29.144</v>
      </c>
      <c r="I274" s="59" t="n">
        <v>26.001</v>
      </c>
      <c r="J274" s="59" t="n">
        <v>3.061</v>
      </c>
      <c r="K274" s="59"/>
      <c r="L274" s="59"/>
      <c r="M274" s="59"/>
      <c r="N274" s="61" t="b">
        <f aca="false">TRUE()</f>
        <v>1</v>
      </c>
      <c r="O274" s="59" t="n">
        <v>0.163</v>
      </c>
      <c r="P274" s="61" t="b">
        <f aca="false">TRUE()</f>
        <v>1</v>
      </c>
      <c r="Q274" s="59" t="n">
        <v>1</v>
      </c>
      <c r="R274" s="59" t="n">
        <v>40</v>
      </c>
      <c r="S274" s="59"/>
      <c r="T274" s="59"/>
      <c r="U274" s="59"/>
      <c r="V274" s="59" t="n">
        <v>83.054</v>
      </c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 t="s">
        <v>83</v>
      </c>
      <c r="AH274" s="59" t="s">
        <v>84</v>
      </c>
    </row>
    <row r="275" customFormat="false" ht="15.75" hidden="false" customHeight="false" outlineLevel="0" collapsed="false">
      <c r="A275" s="59" t="n">
        <v>10</v>
      </c>
      <c r="B275" s="59" t="s">
        <v>94</v>
      </c>
      <c r="C275" s="61" t="b">
        <f aca="false">FALSE()</f>
        <v>0</v>
      </c>
      <c r="D275" s="59" t="s">
        <v>8</v>
      </c>
      <c r="E275" s="59" t="s">
        <v>43</v>
      </c>
      <c r="F275" s="59" t="s">
        <v>81</v>
      </c>
      <c r="G275" s="59" t="s">
        <v>82</v>
      </c>
      <c r="H275" s="59" t="n">
        <v>26.807</v>
      </c>
      <c r="I275" s="59" t="n">
        <v>26.001</v>
      </c>
      <c r="J275" s="59" t="n">
        <v>3.061</v>
      </c>
      <c r="K275" s="59"/>
      <c r="L275" s="59"/>
      <c r="M275" s="59"/>
      <c r="N275" s="61" t="b">
        <f aca="false">TRUE()</f>
        <v>1</v>
      </c>
      <c r="O275" s="59" t="n">
        <v>0.163</v>
      </c>
      <c r="P275" s="61" t="b">
        <f aca="false">TRUE()</f>
        <v>1</v>
      </c>
      <c r="Q275" s="59" t="n">
        <v>1</v>
      </c>
      <c r="R275" s="59" t="n">
        <v>40</v>
      </c>
      <c r="S275" s="59"/>
      <c r="T275" s="59"/>
      <c r="U275" s="59"/>
      <c r="V275" s="59" t="n">
        <v>83.054</v>
      </c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 t="s">
        <v>83</v>
      </c>
      <c r="AH275" s="59" t="s">
        <v>84</v>
      </c>
    </row>
    <row r="276" customFormat="false" ht="15.75" hidden="false" customHeight="false" outlineLevel="0" collapsed="false">
      <c r="A276" s="59" t="n">
        <v>11</v>
      </c>
      <c r="B276" s="59" t="s">
        <v>95</v>
      </c>
      <c r="C276" s="61" t="b">
        <f aca="false">FALSE()</f>
        <v>0</v>
      </c>
      <c r="D276" s="59" t="s">
        <v>9</v>
      </c>
      <c r="E276" s="59" t="s">
        <v>43</v>
      </c>
      <c r="F276" s="59" t="s">
        <v>81</v>
      </c>
      <c r="G276" s="59" t="s">
        <v>82</v>
      </c>
      <c r="H276" s="59" t="n">
        <v>26.926</v>
      </c>
      <c r="I276" s="59" t="n">
        <v>26.001</v>
      </c>
      <c r="J276" s="59" t="n">
        <v>3.061</v>
      </c>
      <c r="K276" s="59"/>
      <c r="L276" s="59"/>
      <c r="M276" s="59"/>
      <c r="N276" s="61" t="b">
        <f aca="false">TRUE()</f>
        <v>1</v>
      </c>
      <c r="O276" s="59" t="n">
        <v>0.163</v>
      </c>
      <c r="P276" s="61" t="b">
        <f aca="false">TRUE()</f>
        <v>1</v>
      </c>
      <c r="Q276" s="59" t="n">
        <v>1</v>
      </c>
      <c r="R276" s="59" t="n">
        <v>40</v>
      </c>
      <c r="S276" s="59"/>
      <c r="T276" s="59"/>
      <c r="U276" s="59"/>
      <c r="V276" s="59" t="n">
        <v>83.054</v>
      </c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 t="s">
        <v>83</v>
      </c>
      <c r="AH276" s="59" t="s">
        <v>84</v>
      </c>
    </row>
    <row r="277" customFormat="false" ht="15.75" hidden="false" customHeight="false" outlineLevel="0" collapsed="false">
      <c r="A277" s="59" t="n">
        <v>12</v>
      </c>
      <c r="B277" s="59" t="s">
        <v>96</v>
      </c>
      <c r="C277" s="61" t="b">
        <f aca="false">FALSE()</f>
        <v>0</v>
      </c>
      <c r="D277" s="59" t="s">
        <v>10</v>
      </c>
      <c r="E277" s="59" t="s">
        <v>43</v>
      </c>
      <c r="F277" s="59" t="s">
        <v>81</v>
      </c>
      <c r="G277" s="59" t="s">
        <v>82</v>
      </c>
      <c r="H277" s="59" t="n">
        <v>27.519</v>
      </c>
      <c r="I277" s="59" t="n">
        <v>26.001</v>
      </c>
      <c r="J277" s="59" t="n">
        <v>3.061</v>
      </c>
      <c r="K277" s="59"/>
      <c r="L277" s="59"/>
      <c r="M277" s="59"/>
      <c r="N277" s="61" t="b">
        <f aca="false">TRUE()</f>
        <v>1</v>
      </c>
      <c r="O277" s="59" t="n">
        <v>0.163</v>
      </c>
      <c r="P277" s="61" t="b">
        <f aca="false">TRUE()</f>
        <v>1</v>
      </c>
      <c r="Q277" s="59" t="n">
        <v>1</v>
      </c>
      <c r="R277" s="59" t="n">
        <v>40</v>
      </c>
      <c r="S277" s="59"/>
      <c r="T277" s="59"/>
      <c r="U277" s="59"/>
      <c r="V277" s="59" t="n">
        <v>82.957</v>
      </c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 t="s">
        <v>83</v>
      </c>
      <c r="AH277" s="59" t="s">
        <v>84</v>
      </c>
    </row>
    <row r="278" customFormat="false" ht="15.75" hidden="false" customHeight="false" outlineLevel="0" collapsed="false">
      <c r="A278" s="59" t="n">
        <v>17</v>
      </c>
      <c r="B278" s="59" t="s">
        <v>97</v>
      </c>
      <c r="C278" s="61" t="b">
        <f aca="false">FALSE()</f>
        <v>0</v>
      </c>
      <c r="D278" s="59" t="s">
        <v>11</v>
      </c>
      <c r="E278" s="59" t="s">
        <v>43</v>
      </c>
      <c r="F278" s="59" t="s">
        <v>81</v>
      </c>
      <c r="G278" s="59" t="s">
        <v>82</v>
      </c>
      <c r="H278" s="59" t="n">
        <v>27.656</v>
      </c>
      <c r="I278" s="59" t="n">
        <v>26.001</v>
      </c>
      <c r="J278" s="59" t="n">
        <v>3.061</v>
      </c>
      <c r="K278" s="59"/>
      <c r="L278" s="59"/>
      <c r="M278" s="59"/>
      <c r="N278" s="61" t="b">
        <f aca="false">TRUE()</f>
        <v>1</v>
      </c>
      <c r="O278" s="59" t="n">
        <v>0.163</v>
      </c>
      <c r="P278" s="61" t="b">
        <f aca="false">TRUE()</f>
        <v>1</v>
      </c>
      <c r="Q278" s="59" t="n">
        <v>1</v>
      </c>
      <c r="R278" s="59" t="n">
        <v>40</v>
      </c>
      <c r="S278" s="59"/>
      <c r="T278" s="59"/>
      <c r="U278" s="59"/>
      <c r="V278" s="59" t="n">
        <v>83.054</v>
      </c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 t="s">
        <v>83</v>
      </c>
      <c r="AH278" s="59" t="s">
        <v>84</v>
      </c>
    </row>
    <row r="279" customFormat="false" ht="15.75" hidden="false" customHeight="false" outlineLevel="0" collapsed="false">
      <c r="A279" s="59" t="n">
        <v>18</v>
      </c>
      <c r="B279" s="59" t="s">
        <v>98</v>
      </c>
      <c r="C279" s="61" t="b">
        <f aca="false">FALSE()</f>
        <v>0</v>
      </c>
      <c r="D279" s="59" t="s">
        <v>23</v>
      </c>
      <c r="E279" s="59" t="s">
        <v>43</v>
      </c>
      <c r="F279" s="59" t="s">
        <v>81</v>
      </c>
      <c r="G279" s="59" t="s">
        <v>82</v>
      </c>
      <c r="H279" s="59" t="n">
        <v>27.658</v>
      </c>
      <c r="I279" s="59" t="n">
        <v>26.001</v>
      </c>
      <c r="J279" s="59" t="n">
        <v>3.061</v>
      </c>
      <c r="K279" s="59"/>
      <c r="L279" s="59"/>
      <c r="M279" s="59"/>
      <c r="N279" s="61" t="b">
        <f aca="false">TRUE()</f>
        <v>1</v>
      </c>
      <c r="O279" s="59" t="n">
        <v>0.163</v>
      </c>
      <c r="P279" s="61" t="b">
        <f aca="false">TRUE()</f>
        <v>1</v>
      </c>
      <c r="Q279" s="59" t="n">
        <v>1</v>
      </c>
      <c r="R279" s="59" t="n">
        <v>40</v>
      </c>
      <c r="S279" s="59"/>
      <c r="T279" s="59"/>
      <c r="U279" s="59"/>
      <c r="V279" s="59" t="n">
        <v>83.152</v>
      </c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 t="s">
        <v>83</v>
      </c>
      <c r="AH279" s="59" t="s">
        <v>84</v>
      </c>
    </row>
    <row r="280" customFormat="false" ht="15.75" hidden="false" customHeight="false" outlineLevel="0" collapsed="false">
      <c r="A280" s="59" t="n">
        <v>19</v>
      </c>
      <c r="B280" s="59" t="s">
        <v>99</v>
      </c>
      <c r="C280" s="61" t="b">
        <f aca="false">FALSE()</f>
        <v>0</v>
      </c>
      <c r="D280" s="59" t="s">
        <v>24</v>
      </c>
      <c r="E280" s="59" t="s">
        <v>43</v>
      </c>
      <c r="F280" s="59" t="s">
        <v>81</v>
      </c>
      <c r="G280" s="59" t="s">
        <v>82</v>
      </c>
      <c r="H280" s="59" t="n">
        <v>27.537</v>
      </c>
      <c r="I280" s="59" t="n">
        <v>26.001</v>
      </c>
      <c r="J280" s="59" t="n">
        <v>3.061</v>
      </c>
      <c r="K280" s="59"/>
      <c r="L280" s="59"/>
      <c r="M280" s="59"/>
      <c r="N280" s="61" t="b">
        <f aca="false">TRUE()</f>
        <v>1</v>
      </c>
      <c r="O280" s="59" t="n">
        <v>0.163</v>
      </c>
      <c r="P280" s="61" t="b">
        <f aca="false">TRUE()</f>
        <v>1</v>
      </c>
      <c r="Q280" s="59" t="n">
        <v>1</v>
      </c>
      <c r="R280" s="59" t="n">
        <v>40</v>
      </c>
      <c r="S280" s="59"/>
      <c r="T280" s="59"/>
      <c r="U280" s="59"/>
      <c r="V280" s="59" t="n">
        <v>83.249</v>
      </c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 t="s">
        <v>83</v>
      </c>
      <c r="AH280" s="59" t="s">
        <v>84</v>
      </c>
    </row>
    <row r="281" customFormat="false" ht="15.75" hidden="false" customHeight="false" outlineLevel="0" collapsed="false">
      <c r="A281" s="59" t="n">
        <v>20</v>
      </c>
      <c r="B281" s="59" t="s">
        <v>100</v>
      </c>
      <c r="C281" s="61" t="b">
        <f aca="false">FALSE()</f>
        <v>0</v>
      </c>
      <c r="D281" s="59" t="s">
        <v>25</v>
      </c>
      <c r="E281" s="59" t="s">
        <v>43</v>
      </c>
      <c r="F281" s="59" t="s">
        <v>81</v>
      </c>
      <c r="G281" s="59" t="s">
        <v>82</v>
      </c>
      <c r="H281" s="59" t="n">
        <v>27.941</v>
      </c>
      <c r="I281" s="59" t="n">
        <v>26.001</v>
      </c>
      <c r="J281" s="59" t="n">
        <v>3.061</v>
      </c>
      <c r="K281" s="59"/>
      <c r="L281" s="59"/>
      <c r="M281" s="59"/>
      <c r="N281" s="61" t="b">
        <f aca="false">TRUE()</f>
        <v>1</v>
      </c>
      <c r="O281" s="59" t="n">
        <v>0.163</v>
      </c>
      <c r="P281" s="61" t="b">
        <f aca="false">TRUE()</f>
        <v>1</v>
      </c>
      <c r="Q281" s="59" t="n">
        <v>1</v>
      </c>
      <c r="R281" s="59" t="n">
        <v>40</v>
      </c>
      <c r="S281" s="59"/>
      <c r="T281" s="59"/>
      <c r="U281" s="59"/>
      <c r="V281" s="59" t="n">
        <v>83.152</v>
      </c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 t="s">
        <v>83</v>
      </c>
      <c r="AH281" s="59" t="s">
        <v>84</v>
      </c>
    </row>
    <row r="282" customFormat="false" ht="15.75" hidden="false" customHeight="false" outlineLevel="0" collapsed="false">
      <c r="A282" s="59" t="n">
        <v>21</v>
      </c>
      <c r="B282" s="59" t="s">
        <v>101</v>
      </c>
      <c r="C282" s="61" t="b">
        <f aca="false">FALSE()</f>
        <v>0</v>
      </c>
      <c r="D282" s="59" t="s">
        <v>26</v>
      </c>
      <c r="E282" s="59" t="s">
        <v>43</v>
      </c>
      <c r="F282" s="59" t="s">
        <v>81</v>
      </c>
      <c r="G282" s="59" t="s">
        <v>82</v>
      </c>
      <c r="H282" s="59" t="n">
        <v>27.037</v>
      </c>
      <c r="I282" s="59" t="n">
        <v>26.001</v>
      </c>
      <c r="J282" s="59" t="n">
        <v>3.061</v>
      </c>
      <c r="K282" s="59"/>
      <c r="L282" s="59"/>
      <c r="M282" s="59"/>
      <c r="N282" s="61" t="b">
        <f aca="false">TRUE()</f>
        <v>1</v>
      </c>
      <c r="O282" s="59" t="n">
        <v>0.163</v>
      </c>
      <c r="P282" s="61" t="b">
        <f aca="false">TRUE()</f>
        <v>1</v>
      </c>
      <c r="Q282" s="59" t="n">
        <v>1</v>
      </c>
      <c r="R282" s="59" t="n">
        <v>40</v>
      </c>
      <c r="S282" s="59"/>
      <c r="T282" s="59"/>
      <c r="U282" s="59"/>
      <c r="V282" s="59" t="n">
        <v>83.054</v>
      </c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 t="s">
        <v>83</v>
      </c>
      <c r="AH282" s="59" t="s">
        <v>84</v>
      </c>
    </row>
    <row r="283" customFormat="false" ht="15.75" hidden="false" customHeight="false" outlineLevel="0" collapsed="false">
      <c r="A283" s="59" t="n">
        <v>22</v>
      </c>
      <c r="B283" s="59" t="s">
        <v>102</v>
      </c>
      <c r="C283" s="61" t="b">
        <f aca="false">FALSE()</f>
        <v>0</v>
      </c>
      <c r="D283" s="59" t="s">
        <v>27</v>
      </c>
      <c r="E283" s="59" t="s">
        <v>43</v>
      </c>
      <c r="F283" s="59" t="s">
        <v>81</v>
      </c>
      <c r="G283" s="59" t="s">
        <v>82</v>
      </c>
      <c r="H283" s="59" t="n">
        <v>26.375</v>
      </c>
      <c r="I283" s="59" t="n">
        <v>26.001</v>
      </c>
      <c r="J283" s="59" t="n">
        <v>3.061</v>
      </c>
      <c r="K283" s="59"/>
      <c r="L283" s="59"/>
      <c r="M283" s="59"/>
      <c r="N283" s="61" t="b">
        <f aca="false">TRUE()</f>
        <v>1</v>
      </c>
      <c r="O283" s="59" t="n">
        <v>0.163</v>
      </c>
      <c r="P283" s="61" t="b">
        <f aca="false">TRUE()</f>
        <v>1</v>
      </c>
      <c r="Q283" s="59" t="n">
        <v>1</v>
      </c>
      <c r="R283" s="59" t="n">
        <v>40</v>
      </c>
      <c r="S283" s="59"/>
      <c r="T283" s="59"/>
      <c r="U283" s="59"/>
      <c r="V283" s="59" t="n">
        <v>83.152</v>
      </c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 t="s">
        <v>83</v>
      </c>
      <c r="AH283" s="59" t="s">
        <v>84</v>
      </c>
    </row>
    <row r="284" customFormat="false" ht="15.75" hidden="false" customHeight="false" outlineLevel="0" collapsed="false">
      <c r="A284" s="59" t="n">
        <v>23</v>
      </c>
      <c r="B284" s="59" t="s">
        <v>103</v>
      </c>
      <c r="C284" s="61" t="b">
        <f aca="false">FALSE()</f>
        <v>0</v>
      </c>
      <c r="D284" s="59" t="s">
        <v>28</v>
      </c>
      <c r="E284" s="59" t="s">
        <v>43</v>
      </c>
      <c r="F284" s="59" t="s">
        <v>81</v>
      </c>
      <c r="G284" s="59" t="s">
        <v>82</v>
      </c>
      <c r="H284" s="59" t="n">
        <v>27.605</v>
      </c>
      <c r="I284" s="59" t="n">
        <v>26.001</v>
      </c>
      <c r="J284" s="59" t="n">
        <v>3.061</v>
      </c>
      <c r="K284" s="59"/>
      <c r="L284" s="59"/>
      <c r="M284" s="59"/>
      <c r="N284" s="61" t="b">
        <f aca="false">TRUE()</f>
        <v>1</v>
      </c>
      <c r="O284" s="59" t="n">
        <v>0.163</v>
      </c>
      <c r="P284" s="61" t="b">
        <f aca="false">TRUE()</f>
        <v>1</v>
      </c>
      <c r="Q284" s="59" t="n">
        <v>1</v>
      </c>
      <c r="R284" s="59" t="n">
        <v>40</v>
      </c>
      <c r="S284" s="59"/>
      <c r="T284" s="59"/>
      <c r="U284" s="59"/>
      <c r="V284" s="59" t="n">
        <v>83.054</v>
      </c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 t="s">
        <v>83</v>
      </c>
      <c r="AH284" s="59" t="s">
        <v>84</v>
      </c>
    </row>
    <row r="285" customFormat="false" ht="15.75" hidden="false" customHeight="false" outlineLevel="0" collapsed="false">
      <c r="A285" s="59" t="n">
        <v>24</v>
      </c>
      <c r="B285" s="59" t="s">
        <v>104</v>
      </c>
      <c r="C285" s="61" t="b">
        <f aca="false">FALSE()</f>
        <v>0</v>
      </c>
      <c r="D285" s="59" t="s">
        <v>29</v>
      </c>
      <c r="E285" s="59" t="s">
        <v>43</v>
      </c>
      <c r="F285" s="59" t="s">
        <v>81</v>
      </c>
      <c r="G285" s="59" t="s">
        <v>82</v>
      </c>
      <c r="H285" s="59" t="n">
        <v>26.634</v>
      </c>
      <c r="I285" s="59" t="n">
        <v>26.001</v>
      </c>
      <c r="J285" s="59" t="n">
        <v>3.061</v>
      </c>
      <c r="K285" s="59"/>
      <c r="L285" s="59"/>
      <c r="M285" s="59"/>
      <c r="N285" s="61" t="b">
        <f aca="false">TRUE()</f>
        <v>1</v>
      </c>
      <c r="O285" s="59" t="n">
        <v>0.163</v>
      </c>
      <c r="P285" s="61" t="b">
        <f aca="false">TRUE()</f>
        <v>1</v>
      </c>
      <c r="Q285" s="59" t="n">
        <v>1</v>
      </c>
      <c r="R285" s="59" t="n">
        <v>40</v>
      </c>
      <c r="S285" s="59"/>
      <c r="T285" s="59"/>
      <c r="U285" s="59"/>
      <c r="V285" s="59" t="n">
        <v>83.054</v>
      </c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 t="s">
        <v>83</v>
      </c>
      <c r="AH285" s="59" t="s">
        <v>84</v>
      </c>
    </row>
    <row r="286" customFormat="false" ht="15.75" hidden="false" customHeight="false" outlineLevel="0" collapsed="false">
      <c r="A286" s="59" t="n">
        <v>29</v>
      </c>
      <c r="B286" s="59" t="s">
        <v>105</v>
      </c>
      <c r="C286" s="61" t="b">
        <f aca="false">FALSE()</f>
        <v>0</v>
      </c>
      <c r="D286" s="59" t="s">
        <v>30</v>
      </c>
      <c r="E286" s="59" t="s">
        <v>43</v>
      </c>
      <c r="F286" s="59" t="s">
        <v>81</v>
      </c>
      <c r="G286" s="59" t="s">
        <v>82</v>
      </c>
      <c r="H286" s="59" t="n">
        <v>27.419</v>
      </c>
      <c r="I286" s="59" t="n">
        <v>26.001</v>
      </c>
      <c r="J286" s="59" t="n">
        <v>3.061</v>
      </c>
      <c r="K286" s="59"/>
      <c r="L286" s="59"/>
      <c r="M286" s="59"/>
      <c r="N286" s="61" t="b">
        <f aca="false">TRUE()</f>
        <v>1</v>
      </c>
      <c r="O286" s="59" t="n">
        <v>0.163</v>
      </c>
      <c r="P286" s="61" t="b">
        <f aca="false">TRUE()</f>
        <v>1</v>
      </c>
      <c r="Q286" s="59" t="n">
        <v>1</v>
      </c>
      <c r="R286" s="59" t="n">
        <v>40</v>
      </c>
      <c r="S286" s="59"/>
      <c r="T286" s="59"/>
      <c r="U286" s="59"/>
      <c r="V286" s="59" t="n">
        <v>83.152</v>
      </c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 t="s">
        <v>83</v>
      </c>
      <c r="AH286" s="59" t="s">
        <v>84</v>
      </c>
    </row>
    <row r="287" customFormat="false" ht="15.75" hidden="false" customHeight="false" outlineLevel="0" collapsed="false">
      <c r="A287" s="59" t="n">
        <v>30</v>
      </c>
      <c r="B287" s="59" t="s">
        <v>106</v>
      </c>
      <c r="C287" s="61" t="b">
        <f aca="false">FALSE()</f>
        <v>0</v>
      </c>
      <c r="D287" s="59" t="s">
        <v>31</v>
      </c>
      <c r="E287" s="59" t="s">
        <v>43</v>
      </c>
      <c r="F287" s="59" t="s">
        <v>81</v>
      </c>
      <c r="G287" s="59" t="s">
        <v>82</v>
      </c>
      <c r="H287" s="59" t="n">
        <v>27.96</v>
      </c>
      <c r="I287" s="59" t="n">
        <v>26.001</v>
      </c>
      <c r="J287" s="59" t="n">
        <v>3.061</v>
      </c>
      <c r="K287" s="59"/>
      <c r="L287" s="59"/>
      <c r="M287" s="59"/>
      <c r="N287" s="61" t="b">
        <f aca="false">TRUE()</f>
        <v>1</v>
      </c>
      <c r="O287" s="59" t="n">
        <v>0.163</v>
      </c>
      <c r="P287" s="61" t="b">
        <f aca="false">TRUE()</f>
        <v>1</v>
      </c>
      <c r="Q287" s="59" t="n">
        <v>1</v>
      </c>
      <c r="R287" s="59" t="n">
        <v>40</v>
      </c>
      <c r="S287" s="59"/>
      <c r="T287" s="59"/>
      <c r="U287" s="59"/>
      <c r="V287" s="59" t="n">
        <v>83.152</v>
      </c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 t="s">
        <v>83</v>
      </c>
      <c r="AH287" s="59" t="s">
        <v>84</v>
      </c>
    </row>
    <row r="288" customFormat="false" ht="15.75" hidden="false" customHeight="false" outlineLevel="0" collapsed="false">
      <c r="A288" s="59" t="n">
        <v>37</v>
      </c>
      <c r="B288" s="59" t="s">
        <v>107</v>
      </c>
      <c r="C288" s="61" t="b">
        <f aca="false">FALSE()</f>
        <v>0</v>
      </c>
      <c r="D288" s="59" t="n">
        <v>100</v>
      </c>
      <c r="E288" s="59" t="s">
        <v>44</v>
      </c>
      <c r="F288" s="59" t="s">
        <v>81</v>
      </c>
      <c r="G288" s="59" t="s">
        <v>82</v>
      </c>
      <c r="H288" s="59" t="n">
        <v>22.36</v>
      </c>
      <c r="I288" s="59" t="n">
        <v>26.001</v>
      </c>
      <c r="J288" s="59" t="n">
        <v>3.061</v>
      </c>
      <c r="K288" s="59"/>
      <c r="L288" s="59"/>
      <c r="M288" s="59"/>
      <c r="N288" s="61" t="b">
        <f aca="false">TRUE()</f>
        <v>1</v>
      </c>
      <c r="O288" s="59" t="n">
        <v>0.163</v>
      </c>
      <c r="P288" s="61" t="b">
        <f aca="false">TRUE()</f>
        <v>1</v>
      </c>
      <c r="Q288" s="59" t="n">
        <v>1</v>
      </c>
      <c r="R288" s="59" t="n">
        <v>40</v>
      </c>
      <c r="S288" s="59"/>
      <c r="T288" s="59"/>
      <c r="U288" s="59"/>
      <c r="V288" s="59" t="n">
        <v>83.834</v>
      </c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 t="s">
        <v>83</v>
      </c>
      <c r="AH288" s="59" t="s">
        <v>84</v>
      </c>
    </row>
    <row r="289" customFormat="false" ht="15.75" hidden="false" customHeight="false" outlineLevel="0" collapsed="false">
      <c r="A289" s="59" t="n">
        <v>38</v>
      </c>
      <c r="B289" s="59" t="s">
        <v>108</v>
      </c>
      <c r="C289" s="61" t="b">
        <f aca="false">FALSE()</f>
        <v>0</v>
      </c>
      <c r="D289" s="59" t="n">
        <v>10</v>
      </c>
      <c r="E289" s="59" t="s">
        <v>44</v>
      </c>
      <c r="F289" s="59" t="s">
        <v>81</v>
      </c>
      <c r="G289" s="59" t="s">
        <v>82</v>
      </c>
      <c r="H289" s="59" t="n">
        <v>25.662</v>
      </c>
      <c r="I289" s="59" t="n">
        <v>26.001</v>
      </c>
      <c r="J289" s="59" t="n">
        <v>3.061</v>
      </c>
      <c r="K289" s="59"/>
      <c r="L289" s="59"/>
      <c r="M289" s="59"/>
      <c r="N289" s="61" t="b">
        <f aca="false">TRUE()</f>
        <v>1</v>
      </c>
      <c r="O289" s="59" t="n">
        <v>0.163</v>
      </c>
      <c r="P289" s="61" t="b">
        <f aca="false">TRUE()</f>
        <v>1</v>
      </c>
      <c r="Q289" s="59" t="n">
        <v>1</v>
      </c>
      <c r="R289" s="59" t="n">
        <v>40</v>
      </c>
      <c r="S289" s="59"/>
      <c r="T289" s="59"/>
      <c r="U289" s="59"/>
      <c r="V289" s="59" t="n">
        <v>83.444</v>
      </c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 t="s">
        <v>83</v>
      </c>
      <c r="AH289" s="59" t="s">
        <v>84</v>
      </c>
    </row>
    <row r="290" customFormat="false" ht="15.75" hidden="false" customHeight="false" outlineLevel="0" collapsed="false">
      <c r="A290" s="59" t="n">
        <v>39</v>
      </c>
      <c r="B290" s="59" t="s">
        <v>109</v>
      </c>
      <c r="C290" s="61" t="b">
        <f aca="false">FALSE()</f>
        <v>0</v>
      </c>
      <c r="D290" s="59" t="n">
        <v>1</v>
      </c>
      <c r="E290" s="59" t="s">
        <v>44</v>
      </c>
      <c r="F290" s="59" t="s">
        <v>81</v>
      </c>
      <c r="G290" s="59" t="s">
        <v>82</v>
      </c>
      <c r="H290" s="59" t="n">
        <v>28.753</v>
      </c>
      <c r="I290" s="59" t="n">
        <v>26.001</v>
      </c>
      <c r="J290" s="59" t="n">
        <v>3.061</v>
      </c>
      <c r="K290" s="59"/>
      <c r="L290" s="59"/>
      <c r="M290" s="59"/>
      <c r="N290" s="61" t="b">
        <f aca="false">TRUE()</f>
        <v>1</v>
      </c>
      <c r="O290" s="59" t="n">
        <v>0.163</v>
      </c>
      <c r="P290" s="61" t="b">
        <f aca="false">TRUE()</f>
        <v>1</v>
      </c>
      <c r="Q290" s="59" t="n">
        <v>1</v>
      </c>
      <c r="R290" s="59" t="n">
        <v>40</v>
      </c>
      <c r="S290" s="59"/>
      <c r="T290" s="59"/>
      <c r="U290" s="59"/>
      <c r="V290" s="59" t="n">
        <v>83.347</v>
      </c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 t="s">
        <v>83</v>
      </c>
      <c r="AH290" s="59" t="s">
        <v>84</v>
      </c>
    </row>
    <row r="291" customFormat="false" ht="15.75" hidden="false" customHeight="false" outlineLevel="0" collapsed="false">
      <c r="A291" s="59" t="n">
        <v>40</v>
      </c>
      <c r="B291" s="59" t="s">
        <v>110</v>
      </c>
      <c r="C291" s="61" t="b">
        <f aca="false">FALSE()</f>
        <v>0</v>
      </c>
      <c r="D291" s="59" t="n">
        <v>0.1</v>
      </c>
      <c r="E291" s="59" t="s">
        <v>44</v>
      </c>
      <c r="F291" s="59" t="s">
        <v>81</v>
      </c>
      <c r="G291" s="59" t="s">
        <v>82</v>
      </c>
      <c r="H291" s="59" t="n">
        <v>32.223</v>
      </c>
      <c r="I291" s="59" t="n">
        <v>26.001</v>
      </c>
      <c r="J291" s="59" t="n">
        <v>3.061</v>
      </c>
      <c r="K291" s="59"/>
      <c r="L291" s="59"/>
      <c r="M291" s="59"/>
      <c r="N291" s="61" t="b">
        <f aca="false">TRUE()</f>
        <v>1</v>
      </c>
      <c r="O291" s="59" t="n">
        <v>0.163</v>
      </c>
      <c r="P291" s="61" t="b">
        <f aca="false">TRUE()</f>
        <v>1</v>
      </c>
      <c r="Q291" s="59" t="n">
        <v>1</v>
      </c>
      <c r="R291" s="59" t="n">
        <v>40</v>
      </c>
      <c r="S291" s="59"/>
      <c r="T291" s="59"/>
      <c r="U291" s="59"/>
      <c r="V291" s="59" t="n">
        <v>83.249</v>
      </c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 t="s">
        <v>83</v>
      </c>
      <c r="AH291" s="59" t="s">
        <v>84</v>
      </c>
    </row>
    <row r="292" customFormat="false" ht="15.75" hidden="false" customHeight="false" outlineLevel="0" collapsed="false">
      <c r="A292" s="59" t="n">
        <v>41</v>
      </c>
      <c r="B292" s="59" t="s">
        <v>111</v>
      </c>
      <c r="C292" s="61" t="b">
        <f aca="false">FALSE()</f>
        <v>0</v>
      </c>
      <c r="D292" s="59" t="s">
        <v>3</v>
      </c>
      <c r="E292" s="59" t="s">
        <v>44</v>
      </c>
      <c r="F292" s="59" t="s">
        <v>81</v>
      </c>
      <c r="G292" s="59" t="s">
        <v>82</v>
      </c>
      <c r="H292" s="59" t="n">
        <v>23.172</v>
      </c>
      <c r="I292" s="59" t="n">
        <v>26.001</v>
      </c>
      <c r="J292" s="59" t="n">
        <v>3.061</v>
      </c>
      <c r="K292" s="59"/>
      <c r="L292" s="59"/>
      <c r="M292" s="59"/>
      <c r="N292" s="61" t="b">
        <f aca="false">TRUE()</f>
        <v>1</v>
      </c>
      <c r="O292" s="59" t="n">
        <v>0.163</v>
      </c>
      <c r="P292" s="61" t="b">
        <f aca="false">TRUE()</f>
        <v>1</v>
      </c>
      <c r="Q292" s="59" t="n">
        <v>1</v>
      </c>
      <c r="R292" s="59" t="n">
        <v>40</v>
      </c>
      <c r="S292" s="59"/>
      <c r="T292" s="59"/>
      <c r="U292" s="59"/>
      <c r="V292" s="59" t="n">
        <v>83.444</v>
      </c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 t="s">
        <v>83</v>
      </c>
      <c r="AH292" s="59" t="s">
        <v>84</v>
      </c>
    </row>
    <row r="293" customFormat="false" ht="15.75" hidden="false" customHeight="false" outlineLevel="0" collapsed="false">
      <c r="A293" s="59" t="n">
        <v>42</v>
      </c>
      <c r="B293" s="59" t="s">
        <v>112</v>
      </c>
      <c r="C293" s="61" t="b">
        <f aca="false">FALSE()</f>
        <v>0</v>
      </c>
      <c r="D293" s="59" t="s">
        <v>4</v>
      </c>
      <c r="E293" s="59" t="s">
        <v>44</v>
      </c>
      <c r="F293" s="59" t="s">
        <v>81</v>
      </c>
      <c r="G293" s="59" t="s">
        <v>82</v>
      </c>
      <c r="H293" s="59" t="n">
        <v>22.946</v>
      </c>
      <c r="I293" s="59" t="n">
        <v>26.001</v>
      </c>
      <c r="J293" s="59" t="n">
        <v>3.061</v>
      </c>
      <c r="K293" s="59"/>
      <c r="L293" s="59"/>
      <c r="M293" s="59"/>
      <c r="N293" s="61" t="b">
        <f aca="false">TRUE()</f>
        <v>1</v>
      </c>
      <c r="O293" s="59" t="n">
        <v>0.163</v>
      </c>
      <c r="P293" s="61" t="b">
        <f aca="false">TRUE()</f>
        <v>1</v>
      </c>
      <c r="Q293" s="59" t="n">
        <v>1</v>
      </c>
      <c r="R293" s="59" t="n">
        <v>40</v>
      </c>
      <c r="S293" s="59"/>
      <c r="T293" s="59"/>
      <c r="U293" s="59"/>
      <c r="V293" s="59" t="n">
        <v>83.444</v>
      </c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 t="s">
        <v>83</v>
      </c>
      <c r="AH293" s="59" t="s">
        <v>84</v>
      </c>
    </row>
    <row r="294" customFormat="false" ht="15.75" hidden="false" customHeight="false" outlineLevel="0" collapsed="false">
      <c r="A294" s="59" t="n">
        <v>43</v>
      </c>
      <c r="B294" s="59" t="s">
        <v>113</v>
      </c>
      <c r="C294" s="61" t="b">
        <f aca="false">FALSE()</f>
        <v>0</v>
      </c>
      <c r="D294" s="59" t="s">
        <v>5</v>
      </c>
      <c r="E294" s="59" t="s">
        <v>44</v>
      </c>
      <c r="F294" s="59" t="s">
        <v>81</v>
      </c>
      <c r="G294" s="59" t="s">
        <v>82</v>
      </c>
      <c r="H294" s="59" t="n">
        <v>23.342</v>
      </c>
      <c r="I294" s="59" t="n">
        <v>26.001</v>
      </c>
      <c r="J294" s="59" t="n">
        <v>3.061</v>
      </c>
      <c r="K294" s="59"/>
      <c r="L294" s="59"/>
      <c r="M294" s="59"/>
      <c r="N294" s="61" t="b">
        <f aca="false">TRUE()</f>
        <v>1</v>
      </c>
      <c r="O294" s="59" t="n">
        <v>0.163</v>
      </c>
      <c r="P294" s="61" t="b">
        <f aca="false">TRUE()</f>
        <v>1</v>
      </c>
      <c r="Q294" s="59" t="n">
        <v>1</v>
      </c>
      <c r="R294" s="59" t="n">
        <v>40</v>
      </c>
      <c r="S294" s="59"/>
      <c r="T294" s="59"/>
      <c r="U294" s="59"/>
      <c r="V294" s="59" t="n">
        <v>83.444</v>
      </c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 t="s">
        <v>83</v>
      </c>
      <c r="AH294" s="59" t="s">
        <v>84</v>
      </c>
    </row>
    <row r="295" customFormat="false" ht="15.75" hidden="false" customHeight="false" outlineLevel="0" collapsed="false">
      <c r="A295" s="59" t="n">
        <v>44</v>
      </c>
      <c r="B295" s="59" t="s">
        <v>114</v>
      </c>
      <c r="C295" s="61" t="b">
        <f aca="false">FALSE()</f>
        <v>0</v>
      </c>
      <c r="D295" s="59" t="s">
        <v>6</v>
      </c>
      <c r="E295" s="59" t="s">
        <v>44</v>
      </c>
      <c r="F295" s="59" t="s">
        <v>81</v>
      </c>
      <c r="G295" s="59" t="s">
        <v>82</v>
      </c>
      <c r="H295" s="59" t="n">
        <v>23.487</v>
      </c>
      <c r="I295" s="59" t="n">
        <v>26.001</v>
      </c>
      <c r="J295" s="59" t="n">
        <v>3.061</v>
      </c>
      <c r="K295" s="59"/>
      <c r="L295" s="59"/>
      <c r="M295" s="59"/>
      <c r="N295" s="61" t="b">
        <f aca="false">TRUE()</f>
        <v>1</v>
      </c>
      <c r="O295" s="59" t="n">
        <v>0.163</v>
      </c>
      <c r="P295" s="61" t="b">
        <f aca="false">TRUE()</f>
        <v>1</v>
      </c>
      <c r="Q295" s="59" t="n">
        <v>1</v>
      </c>
      <c r="R295" s="59" t="n">
        <v>40</v>
      </c>
      <c r="S295" s="59"/>
      <c r="T295" s="59"/>
      <c r="U295" s="59"/>
      <c r="V295" s="59" t="n">
        <v>83.444</v>
      </c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 t="s">
        <v>83</v>
      </c>
      <c r="AH295" s="59" t="s">
        <v>84</v>
      </c>
    </row>
    <row r="296" customFormat="false" ht="15.75" hidden="false" customHeight="false" outlineLevel="0" collapsed="false">
      <c r="A296" s="59" t="n">
        <v>45</v>
      </c>
      <c r="B296" s="59" t="s">
        <v>115</v>
      </c>
      <c r="C296" s="61" t="b">
        <f aca="false">FALSE()</f>
        <v>0</v>
      </c>
      <c r="D296" s="59" t="s">
        <v>7</v>
      </c>
      <c r="E296" s="59" t="s">
        <v>44</v>
      </c>
      <c r="F296" s="59" t="s">
        <v>81</v>
      </c>
      <c r="G296" s="59" t="s">
        <v>82</v>
      </c>
      <c r="H296" s="59" t="n">
        <v>23.828</v>
      </c>
      <c r="I296" s="59" t="n">
        <v>26.001</v>
      </c>
      <c r="J296" s="59" t="n">
        <v>3.061</v>
      </c>
      <c r="K296" s="59"/>
      <c r="L296" s="59"/>
      <c r="M296" s="59"/>
      <c r="N296" s="61" t="b">
        <f aca="false">TRUE()</f>
        <v>1</v>
      </c>
      <c r="O296" s="59" t="n">
        <v>0.163</v>
      </c>
      <c r="P296" s="61" t="b">
        <f aca="false">TRUE()</f>
        <v>1</v>
      </c>
      <c r="Q296" s="59" t="n">
        <v>1</v>
      </c>
      <c r="R296" s="59" t="n">
        <v>40</v>
      </c>
      <c r="S296" s="59"/>
      <c r="T296" s="59"/>
      <c r="U296" s="59"/>
      <c r="V296" s="59" t="n">
        <v>83.444</v>
      </c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 t="s">
        <v>83</v>
      </c>
      <c r="AH296" s="59" t="s">
        <v>84</v>
      </c>
    </row>
    <row r="297" customFormat="false" ht="15.75" hidden="false" customHeight="false" outlineLevel="0" collapsed="false">
      <c r="A297" s="59" t="n">
        <v>46</v>
      </c>
      <c r="B297" s="59" t="s">
        <v>116</v>
      </c>
      <c r="C297" s="61" t="b">
        <f aca="false">FALSE()</f>
        <v>0</v>
      </c>
      <c r="D297" s="59" t="s">
        <v>8</v>
      </c>
      <c r="E297" s="59" t="s">
        <v>44</v>
      </c>
      <c r="F297" s="59" t="s">
        <v>81</v>
      </c>
      <c r="G297" s="59" t="s">
        <v>82</v>
      </c>
      <c r="H297" s="59" t="n">
        <v>22.723</v>
      </c>
      <c r="I297" s="59" t="n">
        <v>26.001</v>
      </c>
      <c r="J297" s="59" t="n">
        <v>3.061</v>
      </c>
      <c r="K297" s="59"/>
      <c r="L297" s="59"/>
      <c r="M297" s="59"/>
      <c r="N297" s="61" t="b">
        <f aca="false">TRUE()</f>
        <v>1</v>
      </c>
      <c r="O297" s="59" t="n">
        <v>0.163</v>
      </c>
      <c r="P297" s="61" t="b">
        <f aca="false">TRUE()</f>
        <v>1</v>
      </c>
      <c r="Q297" s="59" t="n">
        <v>1</v>
      </c>
      <c r="R297" s="59" t="n">
        <v>40</v>
      </c>
      <c r="S297" s="59"/>
      <c r="T297" s="59"/>
      <c r="U297" s="59"/>
      <c r="V297" s="59" t="n">
        <v>83.444</v>
      </c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 t="s">
        <v>83</v>
      </c>
      <c r="AH297" s="59" t="s">
        <v>84</v>
      </c>
    </row>
    <row r="298" customFormat="false" ht="15.75" hidden="false" customHeight="false" outlineLevel="0" collapsed="false">
      <c r="A298" s="59" t="n">
        <v>47</v>
      </c>
      <c r="B298" s="59" t="s">
        <v>117</v>
      </c>
      <c r="C298" s="61" t="b">
        <f aca="false">FALSE()</f>
        <v>0</v>
      </c>
      <c r="D298" s="59" t="s">
        <v>9</v>
      </c>
      <c r="E298" s="59" t="s">
        <v>44</v>
      </c>
      <c r="F298" s="59" t="s">
        <v>81</v>
      </c>
      <c r="G298" s="59" t="s">
        <v>82</v>
      </c>
      <c r="H298" s="59" t="n">
        <v>23.373</v>
      </c>
      <c r="I298" s="59" t="n">
        <v>26.001</v>
      </c>
      <c r="J298" s="59" t="n">
        <v>3.061</v>
      </c>
      <c r="K298" s="59"/>
      <c r="L298" s="59"/>
      <c r="M298" s="59"/>
      <c r="N298" s="61" t="b">
        <f aca="false">TRUE()</f>
        <v>1</v>
      </c>
      <c r="O298" s="59" t="n">
        <v>0.163</v>
      </c>
      <c r="P298" s="61" t="b">
        <f aca="false">TRUE()</f>
        <v>1</v>
      </c>
      <c r="Q298" s="59" t="n">
        <v>1</v>
      </c>
      <c r="R298" s="59" t="n">
        <v>40</v>
      </c>
      <c r="S298" s="59"/>
      <c r="T298" s="59"/>
      <c r="U298" s="59"/>
      <c r="V298" s="59" t="n">
        <v>83.347</v>
      </c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 t="s">
        <v>83</v>
      </c>
      <c r="AH298" s="59" t="s">
        <v>84</v>
      </c>
    </row>
    <row r="299" customFormat="false" ht="15.75" hidden="false" customHeight="false" outlineLevel="0" collapsed="false">
      <c r="A299" s="59" t="n">
        <v>48</v>
      </c>
      <c r="B299" s="59" t="s">
        <v>118</v>
      </c>
      <c r="C299" s="61" t="b">
        <f aca="false">FALSE()</f>
        <v>0</v>
      </c>
      <c r="D299" s="59" t="s">
        <v>10</v>
      </c>
      <c r="E299" s="59" t="s">
        <v>44</v>
      </c>
      <c r="F299" s="59" t="s">
        <v>81</v>
      </c>
      <c r="G299" s="59" t="s">
        <v>82</v>
      </c>
      <c r="H299" s="59" t="n">
        <v>23.604</v>
      </c>
      <c r="I299" s="59" t="n">
        <v>26.001</v>
      </c>
      <c r="J299" s="59" t="n">
        <v>3.061</v>
      </c>
      <c r="K299" s="59"/>
      <c r="L299" s="59"/>
      <c r="M299" s="59"/>
      <c r="N299" s="61" t="b">
        <f aca="false">TRUE()</f>
        <v>1</v>
      </c>
      <c r="O299" s="59" t="n">
        <v>0.163</v>
      </c>
      <c r="P299" s="61" t="b">
        <f aca="false">TRUE()</f>
        <v>1</v>
      </c>
      <c r="Q299" s="59" t="n">
        <v>1</v>
      </c>
      <c r="R299" s="59" t="n">
        <v>40</v>
      </c>
      <c r="S299" s="59"/>
      <c r="T299" s="59"/>
      <c r="U299" s="59"/>
      <c r="V299" s="59" t="n">
        <v>83.347</v>
      </c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 t="s">
        <v>83</v>
      </c>
      <c r="AH299" s="59" t="s">
        <v>84</v>
      </c>
    </row>
    <row r="300" customFormat="false" ht="15.75" hidden="false" customHeight="false" outlineLevel="0" collapsed="false">
      <c r="A300" s="59" t="n">
        <v>53</v>
      </c>
      <c r="B300" s="59" t="s">
        <v>119</v>
      </c>
      <c r="C300" s="61" t="b">
        <f aca="false">FALSE()</f>
        <v>0</v>
      </c>
      <c r="D300" s="59" t="s">
        <v>11</v>
      </c>
      <c r="E300" s="59" t="s">
        <v>44</v>
      </c>
      <c r="F300" s="59" t="s">
        <v>81</v>
      </c>
      <c r="G300" s="59" t="s">
        <v>82</v>
      </c>
      <c r="H300" s="59" t="n">
        <v>23.282</v>
      </c>
      <c r="I300" s="59" t="n">
        <v>26.001</v>
      </c>
      <c r="J300" s="59" t="n">
        <v>3.061</v>
      </c>
      <c r="K300" s="59"/>
      <c r="L300" s="59"/>
      <c r="M300" s="59"/>
      <c r="N300" s="61" t="b">
        <f aca="false">TRUE()</f>
        <v>1</v>
      </c>
      <c r="O300" s="59" t="n">
        <v>0.163</v>
      </c>
      <c r="P300" s="61" t="b">
        <f aca="false">TRUE()</f>
        <v>1</v>
      </c>
      <c r="Q300" s="59" t="n">
        <v>1</v>
      </c>
      <c r="R300" s="59" t="n">
        <v>40</v>
      </c>
      <c r="S300" s="59"/>
      <c r="T300" s="59"/>
      <c r="U300" s="59"/>
      <c r="V300" s="59" t="n">
        <v>83.444</v>
      </c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 t="s">
        <v>83</v>
      </c>
      <c r="AH300" s="59" t="s">
        <v>84</v>
      </c>
    </row>
    <row r="301" customFormat="false" ht="15.75" hidden="false" customHeight="false" outlineLevel="0" collapsed="false">
      <c r="A301" s="59" t="n">
        <v>54</v>
      </c>
      <c r="B301" s="59" t="s">
        <v>120</v>
      </c>
      <c r="C301" s="61" t="b">
        <f aca="false">FALSE()</f>
        <v>0</v>
      </c>
      <c r="D301" s="59" t="s">
        <v>23</v>
      </c>
      <c r="E301" s="59" t="s">
        <v>44</v>
      </c>
      <c r="F301" s="59" t="s">
        <v>81</v>
      </c>
      <c r="G301" s="59" t="s">
        <v>82</v>
      </c>
      <c r="H301" s="59" t="n">
        <v>23.377</v>
      </c>
      <c r="I301" s="59" t="n">
        <v>26.001</v>
      </c>
      <c r="J301" s="59" t="n">
        <v>3.061</v>
      </c>
      <c r="K301" s="59"/>
      <c r="L301" s="59"/>
      <c r="M301" s="59"/>
      <c r="N301" s="61" t="b">
        <f aca="false">TRUE()</f>
        <v>1</v>
      </c>
      <c r="O301" s="59" t="n">
        <v>0.163</v>
      </c>
      <c r="P301" s="61" t="b">
        <f aca="false">TRUE()</f>
        <v>1</v>
      </c>
      <c r="Q301" s="59" t="n">
        <v>1</v>
      </c>
      <c r="R301" s="59" t="n">
        <v>40</v>
      </c>
      <c r="S301" s="59"/>
      <c r="T301" s="59"/>
      <c r="U301" s="59"/>
      <c r="V301" s="59" t="n">
        <v>83.444</v>
      </c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 t="s">
        <v>83</v>
      </c>
      <c r="AH301" s="59" t="s">
        <v>84</v>
      </c>
    </row>
    <row r="302" customFormat="false" ht="15.75" hidden="false" customHeight="false" outlineLevel="0" collapsed="false">
      <c r="A302" s="59" t="n">
        <v>55</v>
      </c>
      <c r="B302" s="59" t="s">
        <v>121</v>
      </c>
      <c r="C302" s="61" t="b">
        <f aca="false">FALSE()</f>
        <v>0</v>
      </c>
      <c r="D302" s="59" t="s">
        <v>24</v>
      </c>
      <c r="E302" s="59" t="s">
        <v>44</v>
      </c>
      <c r="F302" s="59" t="s">
        <v>81</v>
      </c>
      <c r="G302" s="59" t="s">
        <v>82</v>
      </c>
      <c r="H302" s="59" t="n">
        <v>23.041</v>
      </c>
      <c r="I302" s="59" t="n">
        <v>26.001</v>
      </c>
      <c r="J302" s="59" t="n">
        <v>3.061</v>
      </c>
      <c r="K302" s="59"/>
      <c r="L302" s="59"/>
      <c r="M302" s="59"/>
      <c r="N302" s="61" t="b">
        <f aca="false">TRUE()</f>
        <v>1</v>
      </c>
      <c r="O302" s="59" t="n">
        <v>0.163</v>
      </c>
      <c r="P302" s="61" t="b">
        <f aca="false">TRUE()</f>
        <v>1</v>
      </c>
      <c r="Q302" s="59" t="n">
        <v>1</v>
      </c>
      <c r="R302" s="59" t="n">
        <v>40</v>
      </c>
      <c r="S302" s="59"/>
      <c r="T302" s="59"/>
      <c r="U302" s="59"/>
      <c r="V302" s="59" t="n">
        <v>83.542</v>
      </c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 t="s">
        <v>83</v>
      </c>
      <c r="AH302" s="59" t="s">
        <v>84</v>
      </c>
    </row>
    <row r="303" customFormat="false" ht="15.75" hidden="false" customHeight="false" outlineLevel="0" collapsed="false">
      <c r="A303" s="59" t="n">
        <v>56</v>
      </c>
      <c r="B303" s="59" t="s">
        <v>122</v>
      </c>
      <c r="C303" s="61" t="b">
        <f aca="false">FALSE()</f>
        <v>0</v>
      </c>
      <c r="D303" s="59" t="s">
        <v>25</v>
      </c>
      <c r="E303" s="59" t="s">
        <v>44</v>
      </c>
      <c r="F303" s="59" t="s">
        <v>81</v>
      </c>
      <c r="G303" s="59" t="s">
        <v>82</v>
      </c>
      <c r="H303" s="59" t="n">
        <v>23.034</v>
      </c>
      <c r="I303" s="59" t="n">
        <v>26.001</v>
      </c>
      <c r="J303" s="59" t="n">
        <v>3.061</v>
      </c>
      <c r="K303" s="59"/>
      <c r="L303" s="59"/>
      <c r="M303" s="59"/>
      <c r="N303" s="61" t="b">
        <f aca="false">TRUE()</f>
        <v>1</v>
      </c>
      <c r="O303" s="59" t="n">
        <v>0.163</v>
      </c>
      <c r="P303" s="61" t="b">
        <f aca="false">TRUE()</f>
        <v>1</v>
      </c>
      <c r="Q303" s="59" t="n">
        <v>1</v>
      </c>
      <c r="R303" s="59" t="n">
        <v>40</v>
      </c>
      <c r="S303" s="59"/>
      <c r="T303" s="59"/>
      <c r="U303" s="59"/>
      <c r="V303" s="59" t="n">
        <v>83.347</v>
      </c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 t="s">
        <v>83</v>
      </c>
      <c r="AH303" s="59" t="s">
        <v>84</v>
      </c>
    </row>
    <row r="304" customFormat="false" ht="15.75" hidden="false" customHeight="false" outlineLevel="0" collapsed="false">
      <c r="A304" s="59" t="n">
        <v>57</v>
      </c>
      <c r="B304" s="59" t="s">
        <v>123</v>
      </c>
      <c r="C304" s="61" t="b">
        <f aca="false">FALSE()</f>
        <v>0</v>
      </c>
      <c r="D304" s="59" t="s">
        <v>26</v>
      </c>
      <c r="E304" s="59" t="s">
        <v>44</v>
      </c>
      <c r="F304" s="59" t="s">
        <v>81</v>
      </c>
      <c r="G304" s="59" t="s">
        <v>82</v>
      </c>
      <c r="H304" s="59" t="n">
        <v>23.313</v>
      </c>
      <c r="I304" s="59" t="n">
        <v>26.001</v>
      </c>
      <c r="J304" s="59" t="n">
        <v>3.061</v>
      </c>
      <c r="K304" s="59"/>
      <c r="L304" s="59"/>
      <c r="M304" s="59"/>
      <c r="N304" s="61" t="b">
        <f aca="false">TRUE()</f>
        <v>1</v>
      </c>
      <c r="O304" s="59" t="n">
        <v>0.163</v>
      </c>
      <c r="P304" s="61" t="b">
        <f aca="false">TRUE()</f>
        <v>1</v>
      </c>
      <c r="Q304" s="59" t="n">
        <v>1</v>
      </c>
      <c r="R304" s="59" t="n">
        <v>40</v>
      </c>
      <c r="S304" s="59"/>
      <c r="T304" s="59"/>
      <c r="U304" s="59"/>
      <c r="V304" s="59" t="n">
        <v>83.444</v>
      </c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 t="s">
        <v>83</v>
      </c>
      <c r="AH304" s="59" t="s">
        <v>84</v>
      </c>
    </row>
    <row r="305" customFormat="false" ht="15.75" hidden="false" customHeight="false" outlineLevel="0" collapsed="false">
      <c r="A305" s="59" t="n">
        <v>58</v>
      </c>
      <c r="B305" s="59" t="s">
        <v>124</v>
      </c>
      <c r="C305" s="61" t="b">
        <f aca="false">FALSE()</f>
        <v>0</v>
      </c>
      <c r="D305" s="59" t="s">
        <v>27</v>
      </c>
      <c r="E305" s="59" t="s">
        <v>44</v>
      </c>
      <c r="F305" s="59" t="s">
        <v>81</v>
      </c>
      <c r="G305" s="59" t="s">
        <v>82</v>
      </c>
      <c r="H305" s="59" t="n">
        <v>22.295</v>
      </c>
      <c r="I305" s="59" t="n">
        <v>26.001</v>
      </c>
      <c r="J305" s="59" t="n">
        <v>3.061</v>
      </c>
      <c r="K305" s="59"/>
      <c r="L305" s="59"/>
      <c r="M305" s="59"/>
      <c r="N305" s="61" t="b">
        <f aca="false">TRUE()</f>
        <v>1</v>
      </c>
      <c r="O305" s="59" t="n">
        <v>0.163</v>
      </c>
      <c r="P305" s="61" t="b">
        <f aca="false">TRUE()</f>
        <v>1</v>
      </c>
      <c r="Q305" s="59" t="n">
        <v>1</v>
      </c>
      <c r="R305" s="59" t="n">
        <v>40</v>
      </c>
      <c r="S305" s="59"/>
      <c r="T305" s="59"/>
      <c r="U305" s="59"/>
      <c r="V305" s="59" t="n">
        <v>83.444</v>
      </c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 t="s">
        <v>83</v>
      </c>
      <c r="AH305" s="59" t="s">
        <v>84</v>
      </c>
    </row>
    <row r="306" customFormat="false" ht="15.75" hidden="false" customHeight="false" outlineLevel="0" collapsed="false">
      <c r="A306" s="59" t="n">
        <v>59</v>
      </c>
      <c r="B306" s="59" t="s">
        <v>125</v>
      </c>
      <c r="C306" s="61" t="b">
        <f aca="false">FALSE()</f>
        <v>0</v>
      </c>
      <c r="D306" s="59" t="s">
        <v>28</v>
      </c>
      <c r="E306" s="59" t="s">
        <v>44</v>
      </c>
      <c r="F306" s="59" t="s">
        <v>81</v>
      </c>
      <c r="G306" s="59" t="s">
        <v>82</v>
      </c>
      <c r="H306" s="59" t="n">
        <v>22.935</v>
      </c>
      <c r="I306" s="59" t="n">
        <v>26.001</v>
      </c>
      <c r="J306" s="59" t="n">
        <v>3.061</v>
      </c>
      <c r="K306" s="59"/>
      <c r="L306" s="59"/>
      <c r="M306" s="59"/>
      <c r="N306" s="61" t="b">
        <f aca="false">TRUE()</f>
        <v>1</v>
      </c>
      <c r="O306" s="59" t="n">
        <v>0.163</v>
      </c>
      <c r="P306" s="61" t="b">
        <f aca="false">TRUE()</f>
        <v>1</v>
      </c>
      <c r="Q306" s="59" t="n">
        <v>1</v>
      </c>
      <c r="R306" s="59" t="n">
        <v>40</v>
      </c>
      <c r="S306" s="59"/>
      <c r="T306" s="59"/>
      <c r="U306" s="59"/>
      <c r="V306" s="59" t="n">
        <v>83.347</v>
      </c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 t="s">
        <v>83</v>
      </c>
      <c r="AH306" s="59" t="s">
        <v>84</v>
      </c>
    </row>
    <row r="307" customFormat="false" ht="15.75" hidden="false" customHeight="false" outlineLevel="0" collapsed="false">
      <c r="A307" s="59" t="n">
        <v>60</v>
      </c>
      <c r="B307" s="59" t="s">
        <v>126</v>
      </c>
      <c r="C307" s="61" t="b">
        <f aca="false">FALSE()</f>
        <v>0</v>
      </c>
      <c r="D307" s="59" t="s">
        <v>29</v>
      </c>
      <c r="E307" s="59" t="s">
        <v>44</v>
      </c>
      <c r="F307" s="59" t="s">
        <v>81</v>
      </c>
      <c r="G307" s="59" t="s">
        <v>82</v>
      </c>
      <c r="H307" s="59" t="n">
        <v>23.047</v>
      </c>
      <c r="I307" s="59" t="n">
        <v>26.001</v>
      </c>
      <c r="J307" s="59" t="n">
        <v>3.061</v>
      </c>
      <c r="K307" s="59"/>
      <c r="L307" s="59"/>
      <c r="M307" s="59"/>
      <c r="N307" s="61" t="b">
        <f aca="false">TRUE()</f>
        <v>1</v>
      </c>
      <c r="O307" s="59" t="n">
        <v>0.163</v>
      </c>
      <c r="P307" s="61" t="b">
        <f aca="false">TRUE()</f>
        <v>1</v>
      </c>
      <c r="Q307" s="59" t="n">
        <v>1</v>
      </c>
      <c r="R307" s="59" t="n">
        <v>40</v>
      </c>
      <c r="S307" s="59"/>
      <c r="T307" s="59"/>
      <c r="U307" s="59"/>
      <c r="V307" s="59" t="n">
        <v>83.444</v>
      </c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 t="s">
        <v>83</v>
      </c>
      <c r="AH307" s="59" t="s">
        <v>84</v>
      </c>
    </row>
    <row r="308" customFormat="false" ht="15.75" hidden="false" customHeight="false" outlineLevel="0" collapsed="false">
      <c r="A308" s="59" t="n">
        <v>65</v>
      </c>
      <c r="B308" s="59" t="s">
        <v>127</v>
      </c>
      <c r="C308" s="61" t="b">
        <f aca="false">FALSE()</f>
        <v>0</v>
      </c>
      <c r="D308" s="59" t="s">
        <v>30</v>
      </c>
      <c r="E308" s="59" t="s">
        <v>44</v>
      </c>
      <c r="F308" s="59" t="s">
        <v>81</v>
      </c>
      <c r="G308" s="59" t="s">
        <v>82</v>
      </c>
      <c r="H308" s="59" t="n">
        <v>23.225</v>
      </c>
      <c r="I308" s="59" t="n">
        <v>26.001</v>
      </c>
      <c r="J308" s="59" t="n">
        <v>3.061</v>
      </c>
      <c r="K308" s="59"/>
      <c r="L308" s="59"/>
      <c r="M308" s="59"/>
      <c r="N308" s="61" t="b">
        <f aca="false">TRUE()</f>
        <v>1</v>
      </c>
      <c r="O308" s="59" t="n">
        <v>0.163</v>
      </c>
      <c r="P308" s="61" t="b">
        <f aca="false">TRUE()</f>
        <v>1</v>
      </c>
      <c r="Q308" s="59" t="n">
        <v>1</v>
      </c>
      <c r="R308" s="59" t="n">
        <v>40</v>
      </c>
      <c r="S308" s="59"/>
      <c r="T308" s="59"/>
      <c r="U308" s="59"/>
      <c r="V308" s="59" t="n">
        <v>83.444</v>
      </c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 t="s">
        <v>83</v>
      </c>
      <c r="AH308" s="59" t="s">
        <v>84</v>
      </c>
    </row>
    <row r="309" customFormat="false" ht="15.75" hidden="false" customHeight="false" outlineLevel="0" collapsed="false">
      <c r="A309" s="59" t="n">
        <v>66</v>
      </c>
      <c r="B309" s="59" t="s">
        <v>128</v>
      </c>
      <c r="C309" s="61" t="b">
        <f aca="false">FALSE()</f>
        <v>0</v>
      </c>
      <c r="D309" s="59" t="s">
        <v>31</v>
      </c>
      <c r="E309" s="59" t="s">
        <v>44</v>
      </c>
      <c r="F309" s="59" t="s">
        <v>81</v>
      </c>
      <c r="G309" s="59" t="s">
        <v>82</v>
      </c>
      <c r="H309" s="59" t="n">
        <v>23.562</v>
      </c>
      <c r="I309" s="59" t="n">
        <v>26.001</v>
      </c>
      <c r="J309" s="59" t="n">
        <v>3.061</v>
      </c>
      <c r="K309" s="59"/>
      <c r="L309" s="59"/>
      <c r="M309" s="59"/>
      <c r="N309" s="61" t="b">
        <f aca="false">TRUE()</f>
        <v>1</v>
      </c>
      <c r="O309" s="59" t="n">
        <v>0.163</v>
      </c>
      <c r="P309" s="61" t="b">
        <f aca="false">TRUE()</f>
        <v>1</v>
      </c>
      <c r="Q309" s="59" t="n">
        <v>1</v>
      </c>
      <c r="R309" s="59" t="n">
        <v>40</v>
      </c>
      <c r="S309" s="59"/>
      <c r="T309" s="59"/>
      <c r="U309" s="59"/>
      <c r="V309" s="59" t="n">
        <v>83.444</v>
      </c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 t="s">
        <v>83</v>
      </c>
      <c r="AH309" s="59" t="s">
        <v>84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outlinePr summaryBelow="0"/>
    <pageSetUpPr fitToPage="false"/>
  </sheetPr>
  <dimension ref="A1:H309"/>
  <sheetViews>
    <sheetView showFormulas="false" showGridLines="true" showRowColHeaders="true" showZeros="true" rightToLeft="false" tabSelected="false" showOutlineSymbols="true" defaultGridColor="true" view="normal" topLeftCell="A113" colorId="64" zoomScale="75" zoomScaleNormal="75" zoomScalePageLayoutView="100" workbookViewId="0">
      <selection pane="topLeft" activeCell="A2" activeCellId="0" sqref="A2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0" width="7.75"/>
    <col collapsed="false" customWidth="true" hidden="false" outlineLevel="0" max="2" min="2" style="0" width="13.94"/>
    <col collapsed="false" customWidth="true" hidden="false" outlineLevel="0" max="3" min="3" style="0" width="9.57"/>
    <col collapsed="false" customWidth="true" hidden="false" outlineLevel="0" max="4" min="4" style="0" width="12.85"/>
    <col collapsed="false" customWidth="true" hidden="false" outlineLevel="0" max="6" min="5" style="0" width="13.75"/>
    <col collapsed="false" customWidth="true" hidden="false" outlineLevel="0" max="7" min="7" style="0" width="7.39"/>
    <col collapsed="false" customWidth="true" hidden="false" outlineLevel="0" max="8" min="8" style="0" width="12.66"/>
  </cols>
  <sheetData>
    <row r="1" customFormat="false" ht="15.75" hidden="false" customHeight="false" outlineLevel="0" collapsed="false">
      <c r="A1" s="59" t="s">
        <v>0</v>
      </c>
      <c r="B1" s="59" t="s">
        <v>48</v>
      </c>
      <c r="C1" s="59" t="s">
        <v>130</v>
      </c>
      <c r="D1" s="60" t="s">
        <v>49</v>
      </c>
      <c r="E1" s="59" t="s">
        <v>52</v>
      </c>
      <c r="F1" s="59" t="s">
        <v>53</v>
      </c>
      <c r="G1" s="59" t="s">
        <v>54</v>
      </c>
      <c r="H1" s="59" t="s">
        <v>59</v>
      </c>
    </row>
    <row r="2" customFormat="false" ht="15.75" hidden="false" customHeight="false" outlineLevel="0" collapsed="false">
      <c r="A2" s="59" t="n">
        <v>1</v>
      </c>
      <c r="B2" s="59" t="n">
        <v>100</v>
      </c>
      <c r="C2" s="62" t="n">
        <v>1</v>
      </c>
      <c r="D2" s="59" t="s">
        <v>22</v>
      </c>
      <c r="E2" s="59" t="n">
        <v>29.576</v>
      </c>
      <c r="F2" s="59" t="n">
        <v>23.513</v>
      </c>
      <c r="G2" s="59" t="n">
        <v>7.666</v>
      </c>
      <c r="H2" s="59" t="n">
        <v>0.116</v>
      </c>
    </row>
    <row r="3" customFormat="false" ht="15.75" hidden="false" customHeight="false" outlineLevel="0" collapsed="false">
      <c r="A3" s="59" t="n">
        <v>1</v>
      </c>
      <c r="B3" s="59" t="n">
        <v>10</v>
      </c>
      <c r="C3" s="62" t="n">
        <v>0.1</v>
      </c>
      <c r="D3" s="59" t="s">
        <v>22</v>
      </c>
      <c r="E3" s="59" t="n">
        <v>32.381</v>
      </c>
      <c r="F3" s="59" t="n">
        <v>23.513</v>
      </c>
      <c r="G3" s="59" t="n">
        <v>7.666</v>
      </c>
      <c r="H3" s="59" t="n">
        <v>0.116</v>
      </c>
    </row>
    <row r="4" customFormat="false" ht="15.75" hidden="false" customHeight="false" outlineLevel="0" collapsed="false">
      <c r="A4" s="59" t="n">
        <v>1</v>
      </c>
      <c r="B4" s="59" t="n">
        <v>1</v>
      </c>
      <c r="C4" s="62" t="n">
        <v>0.01</v>
      </c>
      <c r="D4" s="59" t="s">
        <v>22</v>
      </c>
      <c r="E4" s="59" t="n">
        <v>36.337</v>
      </c>
      <c r="F4" s="59" t="n">
        <v>23.513</v>
      </c>
      <c r="G4" s="59" t="n">
        <v>7.666</v>
      </c>
      <c r="H4" s="59" t="n">
        <v>0.116</v>
      </c>
    </row>
    <row r="5" customFormat="false" ht="15.75" hidden="false" customHeight="false" outlineLevel="0" collapsed="false">
      <c r="A5" s="59" t="n">
        <v>1</v>
      </c>
      <c r="B5" s="59" t="n">
        <v>0.1</v>
      </c>
      <c r="C5" s="63" t="n">
        <v>0.001</v>
      </c>
      <c r="D5" s="59" t="s">
        <v>22</v>
      </c>
      <c r="E5" s="59" t="s">
        <v>88</v>
      </c>
      <c r="F5" s="59" t="n">
        <v>23.513</v>
      </c>
      <c r="G5" s="59" t="n">
        <v>7.666</v>
      </c>
      <c r="H5" s="59" t="n">
        <v>0.116</v>
      </c>
    </row>
    <row r="6" customFormat="false" ht="15.75" hidden="false" customHeight="false" outlineLevel="0" collapsed="false">
      <c r="A6" s="59" t="n">
        <v>1</v>
      </c>
      <c r="B6" s="59" t="s">
        <v>3</v>
      </c>
      <c r="C6" s="59" t="s">
        <v>131</v>
      </c>
      <c r="D6" s="59" t="s">
        <v>22</v>
      </c>
      <c r="E6" s="59" t="n">
        <v>30.175</v>
      </c>
      <c r="F6" s="59" t="n">
        <v>23.513</v>
      </c>
      <c r="G6" s="59" t="n">
        <v>7.666</v>
      </c>
      <c r="H6" s="59" t="n">
        <v>0.116</v>
      </c>
    </row>
    <row r="7" customFormat="false" ht="15.75" hidden="false" customHeight="false" outlineLevel="0" collapsed="false">
      <c r="A7" s="59" t="n">
        <v>1</v>
      </c>
      <c r="B7" s="59" t="s">
        <v>4</v>
      </c>
      <c r="C7" s="59" t="s">
        <v>132</v>
      </c>
      <c r="D7" s="59" t="s">
        <v>22</v>
      </c>
      <c r="E7" s="59" t="n">
        <v>29.72</v>
      </c>
      <c r="F7" s="59" t="n">
        <v>23.513</v>
      </c>
      <c r="G7" s="59" t="n">
        <v>7.666</v>
      </c>
      <c r="H7" s="59" t="n">
        <v>0.116</v>
      </c>
    </row>
    <row r="8" customFormat="false" ht="15.75" hidden="false" customHeight="false" outlineLevel="0" collapsed="false">
      <c r="A8" s="59" t="n">
        <v>1</v>
      </c>
      <c r="B8" s="59" t="s">
        <v>5</v>
      </c>
      <c r="C8" s="59" t="s">
        <v>133</v>
      </c>
      <c r="D8" s="59" t="s">
        <v>22</v>
      </c>
      <c r="E8" s="59" t="n">
        <v>31.24</v>
      </c>
      <c r="F8" s="59" t="n">
        <v>23.513</v>
      </c>
      <c r="G8" s="59" t="n">
        <v>7.666</v>
      </c>
      <c r="H8" s="59" t="n">
        <v>0.116</v>
      </c>
    </row>
    <row r="9" customFormat="false" ht="15.75" hidden="false" customHeight="false" outlineLevel="0" collapsed="false">
      <c r="A9" s="59" t="n">
        <v>1</v>
      </c>
      <c r="B9" s="59" t="s">
        <v>6</v>
      </c>
      <c r="C9" s="59" t="s">
        <v>105</v>
      </c>
      <c r="D9" s="59" t="s">
        <v>22</v>
      </c>
      <c r="E9" s="59" t="n">
        <v>31.824</v>
      </c>
      <c r="F9" s="59" t="n">
        <v>23.513</v>
      </c>
      <c r="G9" s="59" t="n">
        <v>7.666</v>
      </c>
      <c r="H9" s="59" t="n">
        <v>0.116</v>
      </c>
    </row>
    <row r="10" customFormat="false" ht="15.75" hidden="false" customHeight="false" outlineLevel="0" collapsed="false">
      <c r="A10" s="59" t="n">
        <v>1</v>
      </c>
      <c r="B10" s="59" t="s">
        <v>7</v>
      </c>
      <c r="C10" s="59" t="s">
        <v>106</v>
      </c>
      <c r="D10" s="59" t="s">
        <v>22</v>
      </c>
      <c r="E10" s="59" t="n">
        <v>34.312</v>
      </c>
      <c r="F10" s="59" t="n">
        <v>23.513</v>
      </c>
      <c r="G10" s="59" t="n">
        <v>7.666</v>
      </c>
      <c r="H10" s="59" t="n">
        <v>0.116</v>
      </c>
    </row>
    <row r="11" customFormat="false" ht="15.75" hidden="false" customHeight="false" outlineLevel="0" collapsed="false">
      <c r="A11" s="59" t="n">
        <v>1</v>
      </c>
      <c r="B11" s="59" t="s">
        <v>8</v>
      </c>
      <c r="C11" s="59" t="s">
        <v>134</v>
      </c>
      <c r="D11" s="59" t="s">
        <v>22</v>
      </c>
      <c r="E11" s="59" t="n">
        <v>30.291</v>
      </c>
      <c r="F11" s="59" t="n">
        <v>23.513</v>
      </c>
      <c r="G11" s="59" t="n">
        <v>7.666</v>
      </c>
      <c r="H11" s="59" t="n">
        <v>0.116</v>
      </c>
    </row>
    <row r="12" customFormat="false" ht="15.75" hidden="false" customHeight="false" outlineLevel="0" collapsed="false">
      <c r="A12" s="59" t="n">
        <v>1</v>
      </c>
      <c r="B12" s="59" t="s">
        <v>9</v>
      </c>
      <c r="C12" s="59" t="s">
        <v>135</v>
      </c>
      <c r="D12" s="59" t="s">
        <v>22</v>
      </c>
      <c r="E12" s="59" t="n">
        <v>30.339</v>
      </c>
      <c r="F12" s="59" t="n">
        <v>23.513</v>
      </c>
      <c r="G12" s="59" t="n">
        <v>7.666</v>
      </c>
      <c r="H12" s="59" t="n">
        <v>0.116</v>
      </c>
    </row>
    <row r="13" customFormat="false" ht="15.75" hidden="false" customHeight="false" outlineLevel="0" collapsed="false">
      <c r="A13" s="59" t="n">
        <v>1</v>
      </c>
      <c r="B13" s="59" t="s">
        <v>10</v>
      </c>
      <c r="C13" s="59" t="s">
        <v>136</v>
      </c>
      <c r="D13" s="59" t="s">
        <v>22</v>
      </c>
      <c r="E13" s="59" t="n">
        <v>30.272</v>
      </c>
      <c r="F13" s="59" t="n">
        <v>23.513</v>
      </c>
      <c r="G13" s="59" t="n">
        <v>7.666</v>
      </c>
      <c r="H13" s="59" t="n">
        <v>0.116</v>
      </c>
    </row>
    <row r="14" customFormat="false" ht="15.75" hidden="false" customHeight="false" outlineLevel="0" collapsed="false">
      <c r="A14" s="59" t="n">
        <v>1</v>
      </c>
      <c r="B14" s="59" t="s">
        <v>11</v>
      </c>
      <c r="C14" s="59" t="s">
        <v>137</v>
      </c>
      <c r="D14" s="59" t="s">
        <v>22</v>
      </c>
      <c r="E14" s="59" t="n">
        <v>30.921</v>
      </c>
      <c r="F14" s="59" t="n">
        <v>23.513</v>
      </c>
      <c r="G14" s="59" t="n">
        <v>7.666</v>
      </c>
      <c r="H14" s="59" t="n">
        <v>0.116</v>
      </c>
    </row>
    <row r="15" customFormat="false" ht="15.75" hidden="false" customHeight="false" outlineLevel="0" collapsed="false">
      <c r="A15" s="59" t="n">
        <v>1</v>
      </c>
      <c r="B15" s="59" t="s">
        <v>23</v>
      </c>
      <c r="C15" s="59" t="s">
        <v>138</v>
      </c>
      <c r="D15" s="59" t="s">
        <v>22</v>
      </c>
      <c r="E15" s="59" t="n">
        <v>29.927</v>
      </c>
      <c r="F15" s="59" t="n">
        <v>23.513</v>
      </c>
      <c r="G15" s="59" t="n">
        <v>7.666</v>
      </c>
      <c r="H15" s="59" t="n">
        <v>0.116</v>
      </c>
    </row>
    <row r="16" customFormat="false" ht="15.75" hidden="false" customHeight="false" outlineLevel="0" collapsed="false">
      <c r="A16" s="59" t="n">
        <v>1</v>
      </c>
      <c r="B16" s="59" t="s">
        <v>24</v>
      </c>
      <c r="C16" s="59" t="s">
        <v>139</v>
      </c>
      <c r="D16" s="59" t="s">
        <v>22</v>
      </c>
      <c r="E16" s="59" t="n">
        <v>29.595</v>
      </c>
      <c r="F16" s="59" t="n">
        <v>23.513</v>
      </c>
      <c r="G16" s="59" t="n">
        <v>7.666</v>
      </c>
      <c r="H16" s="59" t="n">
        <v>0.116</v>
      </c>
    </row>
    <row r="17" customFormat="false" ht="15.75" hidden="false" customHeight="false" outlineLevel="0" collapsed="false">
      <c r="A17" s="59" t="n">
        <v>1</v>
      </c>
      <c r="B17" s="59" t="s">
        <v>25</v>
      </c>
      <c r="C17" s="59" t="s">
        <v>140</v>
      </c>
      <c r="D17" s="59" t="s">
        <v>22</v>
      </c>
      <c r="E17" s="59" t="n">
        <v>30.198</v>
      </c>
      <c r="F17" s="59" t="n">
        <v>23.513</v>
      </c>
      <c r="G17" s="59" t="n">
        <v>7.666</v>
      </c>
      <c r="H17" s="59" t="n">
        <v>0.116</v>
      </c>
    </row>
    <row r="18" customFormat="false" ht="15.75" hidden="false" customHeight="false" outlineLevel="0" collapsed="false">
      <c r="A18" s="59" t="n">
        <v>1</v>
      </c>
      <c r="B18" s="59" t="s">
        <v>26</v>
      </c>
      <c r="C18" s="59" t="s">
        <v>141</v>
      </c>
      <c r="D18" s="59" t="s">
        <v>22</v>
      </c>
      <c r="E18" s="59" t="n">
        <v>30.583</v>
      </c>
      <c r="F18" s="59" t="n">
        <v>23.513</v>
      </c>
      <c r="G18" s="59" t="n">
        <v>7.666</v>
      </c>
      <c r="H18" s="59" t="n">
        <v>0.116</v>
      </c>
    </row>
    <row r="19" customFormat="false" ht="15.75" hidden="false" customHeight="false" outlineLevel="0" collapsed="false">
      <c r="A19" s="59" t="n">
        <v>1</v>
      </c>
      <c r="B19" s="59" t="s">
        <v>27</v>
      </c>
      <c r="C19" s="59" t="s">
        <v>142</v>
      </c>
      <c r="D19" s="59" t="s">
        <v>22</v>
      </c>
      <c r="E19" s="59" t="n">
        <v>29.432</v>
      </c>
      <c r="F19" s="59" t="n">
        <v>23.513</v>
      </c>
      <c r="G19" s="59" t="n">
        <v>7.666</v>
      </c>
      <c r="H19" s="59" t="n">
        <v>0.116</v>
      </c>
    </row>
    <row r="20" customFormat="false" ht="15.75" hidden="false" customHeight="false" outlineLevel="0" collapsed="false">
      <c r="A20" s="59" t="n">
        <v>1</v>
      </c>
      <c r="B20" s="59" t="s">
        <v>28</v>
      </c>
      <c r="C20" s="59" t="s">
        <v>143</v>
      </c>
      <c r="D20" s="59" t="s">
        <v>22</v>
      </c>
      <c r="E20" s="59" t="n">
        <v>29.405</v>
      </c>
      <c r="F20" s="59" t="n">
        <v>23.513</v>
      </c>
      <c r="G20" s="59" t="n">
        <v>7.666</v>
      </c>
      <c r="H20" s="59" t="n">
        <v>0.116</v>
      </c>
    </row>
    <row r="21" customFormat="false" ht="15.75" hidden="false" customHeight="false" outlineLevel="0" collapsed="false">
      <c r="A21" s="59" t="n">
        <v>1</v>
      </c>
      <c r="B21" s="59" t="s">
        <v>29</v>
      </c>
      <c r="C21" s="59" t="s">
        <v>144</v>
      </c>
      <c r="D21" s="59" t="s">
        <v>22</v>
      </c>
      <c r="E21" s="59" t="n">
        <v>30.904</v>
      </c>
      <c r="F21" s="59" t="n">
        <v>23.513</v>
      </c>
      <c r="G21" s="59" t="n">
        <v>7.666</v>
      </c>
      <c r="H21" s="59" t="n">
        <v>0.116</v>
      </c>
    </row>
    <row r="22" customFormat="false" ht="15.75" hidden="false" customHeight="false" outlineLevel="0" collapsed="false">
      <c r="A22" s="59" t="n">
        <v>1</v>
      </c>
      <c r="B22" s="59" t="s">
        <v>30</v>
      </c>
      <c r="C22" s="59" t="s">
        <v>145</v>
      </c>
      <c r="D22" s="59" t="s">
        <v>22</v>
      </c>
      <c r="E22" s="59" t="n">
        <v>31.562</v>
      </c>
      <c r="F22" s="59" t="n">
        <v>23.513</v>
      </c>
      <c r="G22" s="59" t="n">
        <v>7.666</v>
      </c>
      <c r="H22" s="59" t="n">
        <v>0.116</v>
      </c>
    </row>
    <row r="23" customFormat="false" ht="15.75" hidden="false" customHeight="false" outlineLevel="0" collapsed="false">
      <c r="A23" s="59" t="n">
        <v>1</v>
      </c>
      <c r="B23" s="59" t="s">
        <v>31</v>
      </c>
      <c r="C23" s="59" t="s">
        <v>146</v>
      </c>
      <c r="D23" s="59" t="s">
        <v>22</v>
      </c>
      <c r="E23" s="59" t="n">
        <v>31.641</v>
      </c>
      <c r="F23" s="59" t="n">
        <v>23.513</v>
      </c>
      <c r="G23" s="59" t="n">
        <v>7.666</v>
      </c>
      <c r="H23" s="59" t="n">
        <v>0.116</v>
      </c>
    </row>
    <row r="24" customFormat="false" ht="15.75" hidden="false" customHeight="false" outlineLevel="0" collapsed="false">
      <c r="A24" s="59" t="n">
        <v>1</v>
      </c>
      <c r="B24" s="59" t="n">
        <v>100</v>
      </c>
      <c r="C24" s="62" t="n">
        <v>1</v>
      </c>
      <c r="D24" s="59" t="s">
        <v>32</v>
      </c>
      <c r="E24" s="59" t="n">
        <v>14.971</v>
      </c>
      <c r="F24" s="59" t="n">
        <v>23.513</v>
      </c>
      <c r="G24" s="59" t="n">
        <v>7.666</v>
      </c>
      <c r="H24" s="59" t="n">
        <v>0.116</v>
      </c>
    </row>
    <row r="25" customFormat="false" ht="15.75" hidden="false" customHeight="false" outlineLevel="0" collapsed="false">
      <c r="A25" s="59" t="n">
        <v>1</v>
      </c>
      <c r="B25" s="59" t="n">
        <v>10</v>
      </c>
      <c r="C25" s="62" t="n">
        <v>0.1</v>
      </c>
      <c r="D25" s="59" t="s">
        <v>32</v>
      </c>
      <c r="E25" s="59" t="n">
        <v>17.753</v>
      </c>
      <c r="F25" s="59" t="n">
        <v>23.513</v>
      </c>
      <c r="G25" s="59" t="n">
        <v>7.666</v>
      </c>
      <c r="H25" s="59" t="n">
        <v>0.116</v>
      </c>
    </row>
    <row r="26" customFormat="false" ht="15.75" hidden="false" customHeight="false" outlineLevel="0" collapsed="false">
      <c r="A26" s="59" t="n">
        <v>1</v>
      </c>
      <c r="B26" s="59" t="n">
        <v>1</v>
      </c>
      <c r="C26" s="62" t="n">
        <v>0.01</v>
      </c>
      <c r="D26" s="59" t="s">
        <v>32</v>
      </c>
      <c r="E26" s="59" t="n">
        <v>21.139</v>
      </c>
      <c r="F26" s="59" t="n">
        <v>23.513</v>
      </c>
      <c r="G26" s="59" t="n">
        <v>7.666</v>
      </c>
      <c r="H26" s="59" t="n">
        <v>0.116</v>
      </c>
    </row>
    <row r="27" customFormat="false" ht="15.75" hidden="false" customHeight="false" outlineLevel="0" collapsed="false">
      <c r="A27" s="59" t="n">
        <v>1</v>
      </c>
      <c r="B27" s="59" t="n">
        <v>0.1</v>
      </c>
      <c r="C27" s="63" t="n">
        <v>0.001</v>
      </c>
      <c r="D27" s="59" t="s">
        <v>32</v>
      </c>
      <c r="E27" s="59" t="n">
        <v>24.767</v>
      </c>
      <c r="F27" s="59" t="n">
        <v>23.513</v>
      </c>
      <c r="G27" s="59" t="n">
        <v>7.666</v>
      </c>
      <c r="H27" s="59" t="n">
        <v>0.116</v>
      </c>
    </row>
    <row r="28" customFormat="false" ht="15.75" hidden="false" customHeight="false" outlineLevel="0" collapsed="false">
      <c r="A28" s="59" t="n">
        <v>1</v>
      </c>
      <c r="B28" s="59" t="s">
        <v>3</v>
      </c>
      <c r="C28" s="59" t="s">
        <v>131</v>
      </c>
      <c r="D28" s="59" t="s">
        <v>32</v>
      </c>
      <c r="E28" s="59" t="n">
        <v>14.676</v>
      </c>
      <c r="F28" s="59" t="n">
        <v>23.513</v>
      </c>
      <c r="G28" s="59" t="n">
        <v>7.666</v>
      </c>
      <c r="H28" s="59" t="n">
        <v>0.116</v>
      </c>
    </row>
    <row r="29" customFormat="false" ht="15.75" hidden="false" customHeight="false" outlineLevel="0" collapsed="false">
      <c r="A29" s="59" t="n">
        <v>1</v>
      </c>
      <c r="B29" s="59" t="s">
        <v>4</v>
      </c>
      <c r="C29" s="59" t="s">
        <v>132</v>
      </c>
      <c r="D29" s="59" t="s">
        <v>32</v>
      </c>
      <c r="E29" s="59" t="n">
        <v>14.882</v>
      </c>
      <c r="F29" s="59" t="n">
        <v>23.513</v>
      </c>
      <c r="G29" s="59" t="n">
        <v>7.666</v>
      </c>
      <c r="H29" s="59" t="n">
        <v>0.116</v>
      </c>
    </row>
    <row r="30" customFormat="false" ht="15.75" hidden="false" customHeight="false" outlineLevel="0" collapsed="false">
      <c r="A30" s="59" t="n">
        <v>1</v>
      </c>
      <c r="B30" s="59" t="s">
        <v>5</v>
      </c>
      <c r="C30" s="59" t="s">
        <v>133</v>
      </c>
      <c r="D30" s="59" t="s">
        <v>32</v>
      </c>
      <c r="E30" s="59" t="n">
        <v>15.27</v>
      </c>
      <c r="F30" s="59" t="n">
        <v>23.513</v>
      </c>
      <c r="G30" s="59" t="n">
        <v>7.666</v>
      </c>
      <c r="H30" s="59" t="n">
        <v>0.116</v>
      </c>
    </row>
    <row r="31" customFormat="false" ht="15.75" hidden="false" customHeight="false" outlineLevel="0" collapsed="false">
      <c r="A31" s="59" t="n">
        <v>1</v>
      </c>
      <c r="B31" s="59" t="s">
        <v>6</v>
      </c>
      <c r="C31" s="59" t="s">
        <v>105</v>
      </c>
      <c r="D31" s="59" t="s">
        <v>32</v>
      </c>
      <c r="E31" s="59" t="n">
        <v>16.283</v>
      </c>
      <c r="F31" s="59" t="n">
        <v>23.513</v>
      </c>
      <c r="G31" s="59" t="n">
        <v>7.666</v>
      </c>
      <c r="H31" s="59" t="n">
        <v>0.116</v>
      </c>
    </row>
    <row r="32" customFormat="false" ht="15.75" hidden="false" customHeight="false" outlineLevel="0" collapsed="false">
      <c r="A32" s="59" t="n">
        <v>1</v>
      </c>
      <c r="B32" s="59" t="s">
        <v>7</v>
      </c>
      <c r="C32" s="59" t="s">
        <v>106</v>
      </c>
      <c r="D32" s="59" t="s">
        <v>32</v>
      </c>
      <c r="E32" s="59" t="n">
        <v>17.638</v>
      </c>
      <c r="F32" s="59" t="n">
        <v>23.513</v>
      </c>
      <c r="G32" s="59" t="n">
        <v>7.666</v>
      </c>
      <c r="H32" s="59" t="n">
        <v>0.116</v>
      </c>
    </row>
    <row r="33" customFormat="false" ht="15.75" hidden="false" customHeight="false" outlineLevel="0" collapsed="false">
      <c r="A33" s="59" t="n">
        <v>1</v>
      </c>
      <c r="B33" s="59" t="s">
        <v>8</v>
      </c>
      <c r="C33" s="59" t="s">
        <v>134</v>
      </c>
      <c r="D33" s="59" t="s">
        <v>32</v>
      </c>
      <c r="E33" s="59" t="n">
        <v>15.266</v>
      </c>
      <c r="F33" s="59" t="n">
        <v>23.513</v>
      </c>
      <c r="G33" s="59" t="n">
        <v>7.666</v>
      </c>
      <c r="H33" s="59" t="n">
        <v>0.116</v>
      </c>
    </row>
    <row r="34" customFormat="false" ht="15.75" hidden="false" customHeight="false" outlineLevel="0" collapsed="false">
      <c r="A34" s="59" t="n">
        <v>1</v>
      </c>
      <c r="B34" s="59" t="s">
        <v>9</v>
      </c>
      <c r="C34" s="59" t="s">
        <v>135</v>
      </c>
      <c r="D34" s="59" t="s">
        <v>32</v>
      </c>
      <c r="E34" s="59" t="n">
        <v>15.648</v>
      </c>
      <c r="F34" s="59" t="n">
        <v>23.513</v>
      </c>
      <c r="G34" s="59" t="n">
        <v>7.666</v>
      </c>
      <c r="H34" s="59" t="n">
        <v>0.116</v>
      </c>
    </row>
    <row r="35" customFormat="false" ht="15.75" hidden="false" customHeight="false" outlineLevel="0" collapsed="false">
      <c r="A35" s="59" t="n">
        <v>1</v>
      </c>
      <c r="B35" s="59" t="s">
        <v>10</v>
      </c>
      <c r="C35" s="59" t="s">
        <v>136</v>
      </c>
      <c r="D35" s="59" t="s">
        <v>32</v>
      </c>
      <c r="E35" s="59" t="n">
        <v>15.767</v>
      </c>
      <c r="F35" s="59" t="n">
        <v>23.513</v>
      </c>
      <c r="G35" s="59" t="n">
        <v>7.666</v>
      </c>
      <c r="H35" s="59" t="n">
        <v>0.116</v>
      </c>
    </row>
    <row r="36" customFormat="false" ht="15.75" hidden="false" customHeight="false" outlineLevel="0" collapsed="false">
      <c r="A36" s="59" t="n">
        <v>1</v>
      </c>
      <c r="B36" s="59" t="s">
        <v>11</v>
      </c>
      <c r="C36" s="59" t="s">
        <v>137</v>
      </c>
      <c r="D36" s="59" t="s">
        <v>32</v>
      </c>
      <c r="E36" s="59" t="n">
        <v>15.655</v>
      </c>
      <c r="F36" s="59" t="n">
        <v>23.513</v>
      </c>
      <c r="G36" s="59" t="n">
        <v>7.666</v>
      </c>
      <c r="H36" s="59" t="n">
        <v>0.116</v>
      </c>
    </row>
    <row r="37" customFormat="false" ht="15.75" hidden="false" customHeight="false" outlineLevel="0" collapsed="false">
      <c r="A37" s="59" t="n">
        <v>1</v>
      </c>
      <c r="B37" s="59" t="s">
        <v>23</v>
      </c>
      <c r="C37" s="59" t="s">
        <v>138</v>
      </c>
      <c r="D37" s="59" t="s">
        <v>32</v>
      </c>
      <c r="E37" s="59" t="n">
        <v>15.853</v>
      </c>
      <c r="F37" s="59" t="n">
        <v>23.513</v>
      </c>
      <c r="G37" s="59" t="n">
        <v>7.666</v>
      </c>
      <c r="H37" s="59" t="n">
        <v>0.116</v>
      </c>
    </row>
    <row r="38" customFormat="false" ht="15.75" hidden="false" customHeight="false" outlineLevel="0" collapsed="false">
      <c r="A38" s="59" t="n">
        <v>1</v>
      </c>
      <c r="B38" s="59" t="s">
        <v>24</v>
      </c>
      <c r="C38" s="59" t="s">
        <v>139</v>
      </c>
      <c r="D38" s="59" t="s">
        <v>32</v>
      </c>
      <c r="E38" s="59" t="n">
        <v>15.43</v>
      </c>
      <c r="F38" s="59" t="n">
        <v>23.513</v>
      </c>
      <c r="G38" s="59" t="n">
        <v>7.666</v>
      </c>
      <c r="H38" s="59" t="n">
        <v>0.116</v>
      </c>
    </row>
    <row r="39" customFormat="false" ht="15.75" hidden="false" customHeight="false" outlineLevel="0" collapsed="false">
      <c r="A39" s="59" t="n">
        <v>1</v>
      </c>
      <c r="B39" s="59" t="s">
        <v>25</v>
      </c>
      <c r="C39" s="59" t="s">
        <v>140</v>
      </c>
      <c r="D39" s="59" t="s">
        <v>32</v>
      </c>
      <c r="E39" s="59" t="n">
        <v>15.741</v>
      </c>
      <c r="F39" s="59" t="n">
        <v>23.513</v>
      </c>
      <c r="G39" s="59" t="n">
        <v>7.666</v>
      </c>
      <c r="H39" s="59" t="n">
        <v>0.116</v>
      </c>
    </row>
    <row r="40" customFormat="false" ht="15.75" hidden="false" customHeight="false" outlineLevel="0" collapsed="false">
      <c r="A40" s="59" t="n">
        <v>1</v>
      </c>
      <c r="B40" s="59" t="s">
        <v>26</v>
      </c>
      <c r="C40" s="59" t="s">
        <v>141</v>
      </c>
      <c r="D40" s="59" t="s">
        <v>32</v>
      </c>
      <c r="E40" s="59" t="n">
        <v>15.491</v>
      </c>
      <c r="F40" s="59" t="n">
        <v>23.513</v>
      </c>
      <c r="G40" s="59" t="n">
        <v>7.666</v>
      </c>
      <c r="H40" s="59" t="n">
        <v>0.116</v>
      </c>
    </row>
    <row r="41" customFormat="false" ht="15.75" hidden="false" customHeight="false" outlineLevel="0" collapsed="false">
      <c r="A41" s="59" t="n">
        <v>1</v>
      </c>
      <c r="B41" s="59" t="s">
        <v>27</v>
      </c>
      <c r="C41" s="59" t="s">
        <v>142</v>
      </c>
      <c r="D41" s="59" t="s">
        <v>32</v>
      </c>
      <c r="E41" s="59" t="n">
        <v>14.508</v>
      </c>
      <c r="F41" s="59" t="n">
        <v>23.513</v>
      </c>
      <c r="G41" s="59" t="n">
        <v>7.666</v>
      </c>
      <c r="H41" s="59" t="n">
        <v>0.116</v>
      </c>
    </row>
    <row r="42" customFormat="false" ht="15.75" hidden="false" customHeight="false" outlineLevel="0" collapsed="false">
      <c r="A42" s="59" t="n">
        <v>1</v>
      </c>
      <c r="B42" s="59" t="s">
        <v>28</v>
      </c>
      <c r="C42" s="59" t="s">
        <v>143</v>
      </c>
      <c r="D42" s="59" t="s">
        <v>32</v>
      </c>
      <c r="E42" s="59" t="n">
        <v>15.261</v>
      </c>
      <c r="F42" s="59" t="n">
        <v>23.513</v>
      </c>
      <c r="G42" s="59" t="n">
        <v>7.666</v>
      </c>
      <c r="H42" s="59" t="n">
        <v>0.116</v>
      </c>
    </row>
    <row r="43" customFormat="false" ht="15.75" hidden="false" customHeight="false" outlineLevel="0" collapsed="false">
      <c r="A43" s="59" t="n">
        <v>1</v>
      </c>
      <c r="B43" s="59" t="s">
        <v>29</v>
      </c>
      <c r="C43" s="59" t="s">
        <v>144</v>
      </c>
      <c r="D43" s="59" t="s">
        <v>32</v>
      </c>
      <c r="E43" s="59" t="n">
        <v>15.571</v>
      </c>
      <c r="F43" s="59" t="n">
        <v>23.513</v>
      </c>
      <c r="G43" s="59" t="n">
        <v>7.666</v>
      </c>
      <c r="H43" s="59" t="n">
        <v>0.116</v>
      </c>
    </row>
    <row r="44" customFormat="false" ht="15.75" hidden="false" customHeight="false" outlineLevel="0" collapsed="false">
      <c r="A44" s="59" t="n">
        <v>1</v>
      </c>
      <c r="B44" s="59" t="s">
        <v>30</v>
      </c>
      <c r="C44" s="59" t="s">
        <v>145</v>
      </c>
      <c r="D44" s="59" t="s">
        <v>32</v>
      </c>
      <c r="E44" s="59" t="n">
        <v>16.341</v>
      </c>
      <c r="F44" s="59" t="n">
        <v>23.513</v>
      </c>
      <c r="G44" s="59" t="n">
        <v>7.666</v>
      </c>
      <c r="H44" s="59" t="n">
        <v>0.116</v>
      </c>
    </row>
    <row r="45" customFormat="false" ht="15.75" hidden="false" customHeight="false" outlineLevel="0" collapsed="false">
      <c r="A45" s="59" t="n">
        <v>1</v>
      </c>
      <c r="B45" s="59" t="s">
        <v>31</v>
      </c>
      <c r="C45" s="59" t="s">
        <v>146</v>
      </c>
      <c r="D45" s="59" t="s">
        <v>32</v>
      </c>
      <c r="E45" s="59" t="n">
        <v>16.238</v>
      </c>
      <c r="F45" s="59" t="n">
        <v>23.513</v>
      </c>
      <c r="G45" s="59" t="n">
        <v>7.666</v>
      </c>
      <c r="H45" s="59" t="n">
        <v>0.116</v>
      </c>
    </row>
    <row r="46" customFormat="false" ht="15.75" hidden="false" customHeight="false" outlineLevel="0" collapsed="false">
      <c r="A46" s="59" t="n">
        <v>2</v>
      </c>
      <c r="B46" s="59" t="n">
        <v>100</v>
      </c>
      <c r="C46" s="62" t="n">
        <v>1</v>
      </c>
      <c r="D46" s="59" t="s">
        <v>33</v>
      </c>
      <c r="E46" s="59" t="n">
        <v>22.055</v>
      </c>
      <c r="F46" s="59" t="n">
        <v>27.957</v>
      </c>
      <c r="G46" s="59" t="n">
        <v>4.652</v>
      </c>
      <c r="H46" s="59" t="n">
        <v>0.219</v>
      </c>
    </row>
    <row r="47" customFormat="false" ht="15.75" hidden="false" customHeight="false" outlineLevel="0" collapsed="false">
      <c r="A47" s="59" t="n">
        <v>2</v>
      </c>
      <c r="B47" s="59" t="n">
        <v>10</v>
      </c>
      <c r="C47" s="62" t="n">
        <v>0.1</v>
      </c>
      <c r="D47" s="59" t="s">
        <v>33</v>
      </c>
      <c r="E47" s="59" t="n">
        <v>25.117</v>
      </c>
      <c r="F47" s="59" t="n">
        <v>27.957</v>
      </c>
      <c r="G47" s="59" t="n">
        <v>4.652</v>
      </c>
      <c r="H47" s="59" t="n">
        <v>0.219</v>
      </c>
    </row>
    <row r="48" customFormat="false" ht="15.75" hidden="false" customHeight="false" outlineLevel="0" collapsed="false">
      <c r="A48" s="59" t="n">
        <v>2</v>
      </c>
      <c r="B48" s="59" t="n">
        <v>1</v>
      </c>
      <c r="C48" s="62" t="n">
        <v>0.01</v>
      </c>
      <c r="D48" s="59" t="s">
        <v>33</v>
      </c>
      <c r="E48" s="59" t="n">
        <v>28.621</v>
      </c>
      <c r="F48" s="59" t="n">
        <v>27.957</v>
      </c>
      <c r="G48" s="59" t="n">
        <v>4.652</v>
      </c>
      <c r="H48" s="59" t="n">
        <v>0.219</v>
      </c>
    </row>
    <row r="49" customFormat="false" ht="15.75" hidden="false" customHeight="false" outlineLevel="0" collapsed="false">
      <c r="A49" s="59" t="n">
        <v>2</v>
      </c>
      <c r="B49" s="59" t="n">
        <v>0.1</v>
      </c>
      <c r="C49" s="63" t="n">
        <v>0.001</v>
      </c>
      <c r="D49" s="59" t="s">
        <v>33</v>
      </c>
      <c r="E49" s="59" t="n">
        <v>32.079</v>
      </c>
      <c r="F49" s="59" t="n">
        <v>27.957</v>
      </c>
      <c r="G49" s="59" t="n">
        <v>4.652</v>
      </c>
      <c r="H49" s="59" t="n">
        <v>0.219</v>
      </c>
    </row>
    <row r="50" customFormat="false" ht="15.75" hidden="false" customHeight="false" outlineLevel="0" collapsed="false">
      <c r="A50" s="59" t="n">
        <v>2</v>
      </c>
      <c r="B50" s="59" t="s">
        <v>3</v>
      </c>
      <c r="C50" s="59" t="s">
        <v>131</v>
      </c>
      <c r="D50" s="59" t="s">
        <v>33</v>
      </c>
      <c r="E50" s="59" t="n">
        <v>22.983</v>
      </c>
      <c r="F50" s="59" t="n">
        <v>27.957</v>
      </c>
      <c r="G50" s="59" t="n">
        <v>4.652</v>
      </c>
      <c r="H50" s="59" t="n">
        <v>0.219</v>
      </c>
    </row>
    <row r="51" customFormat="false" ht="15.75" hidden="false" customHeight="false" outlineLevel="0" collapsed="false">
      <c r="A51" s="59" t="n">
        <v>2</v>
      </c>
      <c r="B51" s="59" t="s">
        <v>4</v>
      </c>
      <c r="C51" s="59" t="s">
        <v>132</v>
      </c>
      <c r="D51" s="59" t="s">
        <v>33</v>
      </c>
      <c r="E51" s="59" t="n">
        <v>22.133</v>
      </c>
      <c r="F51" s="59" t="n">
        <v>27.957</v>
      </c>
      <c r="G51" s="59" t="n">
        <v>4.652</v>
      </c>
      <c r="H51" s="59" t="n">
        <v>0.219</v>
      </c>
    </row>
    <row r="52" customFormat="false" ht="15.75" hidden="false" customHeight="false" outlineLevel="0" collapsed="false">
      <c r="A52" s="59" t="n">
        <v>2</v>
      </c>
      <c r="B52" s="59" t="s">
        <v>5</v>
      </c>
      <c r="C52" s="59" t="s">
        <v>133</v>
      </c>
      <c r="D52" s="59" t="s">
        <v>33</v>
      </c>
      <c r="E52" s="59" t="n">
        <v>22.973</v>
      </c>
      <c r="F52" s="59" t="n">
        <v>27.957</v>
      </c>
      <c r="G52" s="59" t="n">
        <v>4.652</v>
      </c>
      <c r="H52" s="59" t="n">
        <v>0.219</v>
      </c>
    </row>
    <row r="53" customFormat="false" ht="15.75" hidden="false" customHeight="false" outlineLevel="0" collapsed="false">
      <c r="A53" s="59" t="n">
        <v>2</v>
      </c>
      <c r="B53" s="59" t="s">
        <v>6</v>
      </c>
      <c r="C53" s="59" t="s">
        <v>105</v>
      </c>
      <c r="D53" s="59" t="s">
        <v>33</v>
      </c>
      <c r="E53" s="59" t="n">
        <v>24.187</v>
      </c>
      <c r="F53" s="59" t="n">
        <v>27.957</v>
      </c>
      <c r="G53" s="59" t="n">
        <v>4.652</v>
      </c>
      <c r="H53" s="59" t="n">
        <v>0.219</v>
      </c>
    </row>
    <row r="54" customFormat="false" ht="15.75" hidden="false" customHeight="false" outlineLevel="0" collapsed="false">
      <c r="A54" s="59" t="n">
        <v>2</v>
      </c>
      <c r="B54" s="59" t="s">
        <v>7</v>
      </c>
      <c r="C54" s="59" t="s">
        <v>106</v>
      </c>
      <c r="D54" s="59" t="s">
        <v>33</v>
      </c>
      <c r="E54" s="59" t="n">
        <v>26.295</v>
      </c>
      <c r="F54" s="59" t="n">
        <v>27.957</v>
      </c>
      <c r="G54" s="59" t="n">
        <v>4.652</v>
      </c>
      <c r="H54" s="59" t="n">
        <v>0.219</v>
      </c>
    </row>
    <row r="55" customFormat="false" ht="15.75" hidden="false" customHeight="false" outlineLevel="0" collapsed="false">
      <c r="A55" s="59" t="n">
        <v>2</v>
      </c>
      <c r="B55" s="59" t="s">
        <v>8</v>
      </c>
      <c r="C55" s="59" t="s">
        <v>134</v>
      </c>
      <c r="D55" s="59" t="s">
        <v>33</v>
      </c>
      <c r="E55" s="59" t="n">
        <v>23.092</v>
      </c>
      <c r="F55" s="59" t="n">
        <v>27.957</v>
      </c>
      <c r="G55" s="59" t="n">
        <v>4.652</v>
      </c>
      <c r="H55" s="59" t="n">
        <v>0.219</v>
      </c>
    </row>
    <row r="56" customFormat="false" ht="15.75" hidden="false" customHeight="false" outlineLevel="0" collapsed="false">
      <c r="A56" s="59" t="n">
        <v>2</v>
      </c>
      <c r="B56" s="59" t="s">
        <v>9</v>
      </c>
      <c r="C56" s="59" t="s">
        <v>135</v>
      </c>
      <c r="D56" s="59" t="s">
        <v>33</v>
      </c>
      <c r="E56" s="59" t="n">
        <v>23.017</v>
      </c>
      <c r="F56" s="59" t="n">
        <v>27.957</v>
      </c>
      <c r="G56" s="59" t="n">
        <v>4.652</v>
      </c>
      <c r="H56" s="59" t="n">
        <v>0.219</v>
      </c>
    </row>
    <row r="57" customFormat="false" ht="15.75" hidden="false" customHeight="false" outlineLevel="0" collapsed="false">
      <c r="A57" s="59" t="n">
        <v>2</v>
      </c>
      <c r="B57" s="59" t="s">
        <v>10</v>
      </c>
      <c r="C57" s="59" t="s">
        <v>136</v>
      </c>
      <c r="D57" s="59" t="s">
        <v>33</v>
      </c>
      <c r="E57" s="59" t="n">
        <v>23.204</v>
      </c>
      <c r="F57" s="59" t="n">
        <v>27.957</v>
      </c>
      <c r="G57" s="59" t="n">
        <v>4.652</v>
      </c>
      <c r="H57" s="59" t="n">
        <v>0.219</v>
      </c>
    </row>
    <row r="58" customFormat="false" ht="15.75" hidden="false" customHeight="false" outlineLevel="0" collapsed="false">
      <c r="A58" s="59" t="n">
        <v>2</v>
      </c>
      <c r="B58" s="59" t="s">
        <v>11</v>
      </c>
      <c r="C58" s="59" t="s">
        <v>137</v>
      </c>
      <c r="D58" s="59" t="s">
        <v>33</v>
      </c>
      <c r="E58" s="59" t="n">
        <v>23.265</v>
      </c>
      <c r="F58" s="59" t="n">
        <v>27.957</v>
      </c>
      <c r="G58" s="59" t="n">
        <v>4.652</v>
      </c>
      <c r="H58" s="59" t="n">
        <v>0.219</v>
      </c>
    </row>
    <row r="59" customFormat="false" ht="15.75" hidden="false" customHeight="false" outlineLevel="0" collapsed="false">
      <c r="A59" s="59" t="n">
        <v>2</v>
      </c>
      <c r="B59" s="59" t="s">
        <v>23</v>
      </c>
      <c r="C59" s="59" t="s">
        <v>138</v>
      </c>
      <c r="D59" s="59" t="s">
        <v>33</v>
      </c>
      <c r="E59" s="59" t="n">
        <v>22.583</v>
      </c>
      <c r="F59" s="59" t="n">
        <v>27.957</v>
      </c>
      <c r="G59" s="59" t="n">
        <v>4.652</v>
      </c>
      <c r="H59" s="59" t="n">
        <v>0.219</v>
      </c>
    </row>
    <row r="60" customFormat="false" ht="15.75" hidden="false" customHeight="false" outlineLevel="0" collapsed="false">
      <c r="A60" s="59" t="n">
        <v>2</v>
      </c>
      <c r="B60" s="59" t="s">
        <v>24</v>
      </c>
      <c r="C60" s="59" t="s">
        <v>139</v>
      </c>
      <c r="D60" s="59" t="s">
        <v>33</v>
      </c>
      <c r="E60" s="59" t="n">
        <v>22.63</v>
      </c>
      <c r="F60" s="59" t="n">
        <v>27.957</v>
      </c>
      <c r="G60" s="59" t="n">
        <v>4.652</v>
      </c>
      <c r="H60" s="59" t="n">
        <v>0.219</v>
      </c>
    </row>
    <row r="61" customFormat="false" ht="15.75" hidden="false" customHeight="false" outlineLevel="0" collapsed="false">
      <c r="A61" s="59" t="n">
        <v>2</v>
      </c>
      <c r="B61" s="59" t="s">
        <v>25</v>
      </c>
      <c r="C61" s="59" t="s">
        <v>140</v>
      </c>
      <c r="D61" s="59" t="s">
        <v>33</v>
      </c>
      <c r="E61" s="59" t="n">
        <v>22.573</v>
      </c>
      <c r="F61" s="59" t="n">
        <v>27.957</v>
      </c>
      <c r="G61" s="59" t="n">
        <v>4.652</v>
      </c>
      <c r="H61" s="59" t="n">
        <v>0.219</v>
      </c>
    </row>
    <row r="62" customFormat="false" ht="15.75" hidden="false" customHeight="false" outlineLevel="0" collapsed="false">
      <c r="A62" s="59" t="n">
        <v>2</v>
      </c>
      <c r="B62" s="59" t="s">
        <v>26</v>
      </c>
      <c r="C62" s="59" t="s">
        <v>141</v>
      </c>
      <c r="D62" s="59" t="s">
        <v>33</v>
      </c>
      <c r="E62" s="59" t="n">
        <v>23.287</v>
      </c>
      <c r="F62" s="59" t="n">
        <v>27.957</v>
      </c>
      <c r="G62" s="59" t="n">
        <v>4.652</v>
      </c>
      <c r="H62" s="59" t="n">
        <v>0.219</v>
      </c>
    </row>
    <row r="63" customFormat="false" ht="15.75" hidden="false" customHeight="false" outlineLevel="0" collapsed="false">
      <c r="A63" s="59" t="n">
        <v>2</v>
      </c>
      <c r="B63" s="59" t="s">
        <v>27</v>
      </c>
      <c r="C63" s="59" t="s">
        <v>142</v>
      </c>
      <c r="D63" s="59" t="s">
        <v>33</v>
      </c>
      <c r="E63" s="59" t="n">
        <v>22.169</v>
      </c>
      <c r="F63" s="59" t="n">
        <v>27.957</v>
      </c>
      <c r="G63" s="59" t="n">
        <v>4.652</v>
      </c>
      <c r="H63" s="59" t="n">
        <v>0.219</v>
      </c>
    </row>
    <row r="64" customFormat="false" ht="15.75" hidden="false" customHeight="false" outlineLevel="0" collapsed="false">
      <c r="A64" s="59" t="n">
        <v>2</v>
      </c>
      <c r="B64" s="59" t="s">
        <v>28</v>
      </c>
      <c r="C64" s="59" t="s">
        <v>143</v>
      </c>
      <c r="D64" s="59" t="s">
        <v>33</v>
      </c>
      <c r="E64" s="59" t="n">
        <v>22.149</v>
      </c>
      <c r="F64" s="59" t="n">
        <v>27.957</v>
      </c>
      <c r="G64" s="59" t="n">
        <v>4.652</v>
      </c>
      <c r="H64" s="59" t="n">
        <v>0.219</v>
      </c>
    </row>
    <row r="65" customFormat="false" ht="15.75" hidden="false" customHeight="false" outlineLevel="0" collapsed="false">
      <c r="A65" s="59" t="n">
        <v>2</v>
      </c>
      <c r="B65" s="59" t="s">
        <v>29</v>
      </c>
      <c r="C65" s="59" t="s">
        <v>144</v>
      </c>
      <c r="D65" s="59" t="s">
        <v>33</v>
      </c>
      <c r="E65" s="59" t="n">
        <v>23.16</v>
      </c>
      <c r="F65" s="59" t="n">
        <v>27.957</v>
      </c>
      <c r="G65" s="59" t="n">
        <v>4.652</v>
      </c>
      <c r="H65" s="59" t="n">
        <v>0.219</v>
      </c>
    </row>
    <row r="66" customFormat="false" ht="15.75" hidden="false" customHeight="false" outlineLevel="0" collapsed="false">
      <c r="A66" s="59" t="n">
        <v>2</v>
      </c>
      <c r="B66" s="59" t="s">
        <v>30</v>
      </c>
      <c r="C66" s="59" t="s">
        <v>145</v>
      </c>
      <c r="D66" s="59" t="s">
        <v>33</v>
      </c>
      <c r="E66" s="59" t="n">
        <v>23.521</v>
      </c>
      <c r="F66" s="59" t="n">
        <v>27.957</v>
      </c>
      <c r="G66" s="59" t="n">
        <v>4.652</v>
      </c>
      <c r="H66" s="59" t="n">
        <v>0.219</v>
      </c>
    </row>
    <row r="67" customFormat="false" ht="15.75" hidden="false" customHeight="false" outlineLevel="0" collapsed="false">
      <c r="A67" s="59" t="n">
        <v>2</v>
      </c>
      <c r="B67" s="59" t="s">
        <v>31</v>
      </c>
      <c r="C67" s="59" t="s">
        <v>146</v>
      </c>
      <c r="D67" s="59" t="s">
        <v>33</v>
      </c>
      <c r="E67" s="59" t="n">
        <v>24.014</v>
      </c>
      <c r="F67" s="59" t="n">
        <v>27.957</v>
      </c>
      <c r="G67" s="59" t="n">
        <v>4.652</v>
      </c>
      <c r="H67" s="59" t="n">
        <v>0.219</v>
      </c>
    </row>
    <row r="68" customFormat="false" ht="15.75" hidden="false" customHeight="false" outlineLevel="0" collapsed="false">
      <c r="A68" s="59" t="n">
        <v>2</v>
      </c>
      <c r="B68" s="59" t="n">
        <v>100</v>
      </c>
      <c r="C68" s="62" t="n">
        <v>1</v>
      </c>
      <c r="D68" s="59" t="s">
        <v>34</v>
      </c>
      <c r="E68" s="59" t="n">
        <v>30.881</v>
      </c>
      <c r="F68" s="59" t="n">
        <v>27.957</v>
      </c>
      <c r="G68" s="59" t="n">
        <v>4.652</v>
      </c>
      <c r="H68" s="59" t="n">
        <v>0.219</v>
      </c>
    </row>
    <row r="69" customFormat="false" ht="15.75" hidden="false" customHeight="false" outlineLevel="0" collapsed="false">
      <c r="A69" s="59" t="n">
        <v>2</v>
      </c>
      <c r="B69" s="59" t="n">
        <v>10</v>
      </c>
      <c r="C69" s="62" t="n">
        <v>0.1</v>
      </c>
      <c r="D69" s="59" t="s">
        <v>34</v>
      </c>
      <c r="E69" s="59" t="n">
        <v>33.782</v>
      </c>
      <c r="F69" s="59" t="n">
        <v>27.957</v>
      </c>
      <c r="G69" s="59" t="n">
        <v>4.652</v>
      </c>
      <c r="H69" s="59" t="n">
        <v>0.219</v>
      </c>
    </row>
    <row r="70" customFormat="false" ht="15.75" hidden="false" customHeight="false" outlineLevel="0" collapsed="false">
      <c r="A70" s="59" t="n">
        <v>2</v>
      </c>
      <c r="B70" s="59" t="n">
        <v>1</v>
      </c>
      <c r="C70" s="62" t="n">
        <v>0.01</v>
      </c>
      <c r="D70" s="59" t="s">
        <v>34</v>
      </c>
      <c r="E70" s="59" t="n">
        <v>37.157</v>
      </c>
      <c r="F70" s="59" t="n">
        <v>27.957</v>
      </c>
      <c r="G70" s="59" t="n">
        <v>4.652</v>
      </c>
      <c r="H70" s="59" t="n">
        <v>0.219</v>
      </c>
    </row>
    <row r="71" customFormat="false" ht="15.75" hidden="false" customHeight="false" outlineLevel="0" collapsed="false">
      <c r="A71" s="59" t="n">
        <v>2</v>
      </c>
      <c r="B71" s="59" t="n">
        <v>0.1</v>
      </c>
      <c r="C71" s="63" t="n">
        <v>0.001</v>
      </c>
      <c r="D71" s="59" t="s">
        <v>34</v>
      </c>
      <c r="E71" s="59" t="s">
        <v>88</v>
      </c>
      <c r="F71" s="59" t="n">
        <v>27.957</v>
      </c>
      <c r="G71" s="59" t="n">
        <v>4.652</v>
      </c>
      <c r="H71" s="59" t="n">
        <v>0.219</v>
      </c>
    </row>
    <row r="72" customFormat="false" ht="15.75" hidden="false" customHeight="false" outlineLevel="0" collapsed="false">
      <c r="A72" s="59" t="n">
        <v>2</v>
      </c>
      <c r="B72" s="59" t="s">
        <v>3</v>
      </c>
      <c r="C72" s="59" t="s">
        <v>131</v>
      </c>
      <c r="D72" s="59" t="s">
        <v>34</v>
      </c>
      <c r="E72" s="59" t="n">
        <v>30.827</v>
      </c>
      <c r="F72" s="59" t="n">
        <v>27.957</v>
      </c>
      <c r="G72" s="59" t="n">
        <v>4.652</v>
      </c>
      <c r="H72" s="59" t="n">
        <v>0.219</v>
      </c>
    </row>
    <row r="73" customFormat="false" ht="15.75" hidden="false" customHeight="false" outlineLevel="0" collapsed="false">
      <c r="A73" s="59" t="n">
        <v>2</v>
      </c>
      <c r="B73" s="59" t="s">
        <v>4</v>
      </c>
      <c r="C73" s="59" t="s">
        <v>132</v>
      </c>
      <c r="D73" s="59" t="s">
        <v>34</v>
      </c>
      <c r="E73" s="59" t="n">
        <v>31.85</v>
      </c>
      <c r="F73" s="59" t="n">
        <v>27.957</v>
      </c>
      <c r="G73" s="59" t="n">
        <v>4.652</v>
      </c>
      <c r="H73" s="59" t="n">
        <v>0.219</v>
      </c>
    </row>
    <row r="74" customFormat="false" ht="15.75" hidden="false" customHeight="false" outlineLevel="0" collapsed="false">
      <c r="A74" s="59" t="n">
        <v>2</v>
      </c>
      <c r="B74" s="59" t="s">
        <v>5</v>
      </c>
      <c r="C74" s="59" t="s">
        <v>133</v>
      </c>
      <c r="D74" s="59" t="s">
        <v>34</v>
      </c>
      <c r="E74" s="59" t="n">
        <v>31.947</v>
      </c>
      <c r="F74" s="59" t="n">
        <v>27.957</v>
      </c>
      <c r="G74" s="59" t="n">
        <v>4.652</v>
      </c>
      <c r="H74" s="59" t="n">
        <v>0.219</v>
      </c>
    </row>
    <row r="75" customFormat="false" ht="15.75" hidden="false" customHeight="false" outlineLevel="0" collapsed="false">
      <c r="A75" s="59" t="n">
        <v>2</v>
      </c>
      <c r="B75" s="59" t="s">
        <v>6</v>
      </c>
      <c r="C75" s="59" t="s">
        <v>105</v>
      </c>
      <c r="D75" s="59" t="s">
        <v>34</v>
      </c>
      <c r="E75" s="59" t="n">
        <v>33.406</v>
      </c>
      <c r="F75" s="59" t="n">
        <v>27.957</v>
      </c>
      <c r="G75" s="59" t="n">
        <v>4.652</v>
      </c>
      <c r="H75" s="59" t="n">
        <v>0.219</v>
      </c>
    </row>
    <row r="76" customFormat="false" ht="15.75" hidden="false" customHeight="false" outlineLevel="0" collapsed="false">
      <c r="A76" s="59" t="n">
        <v>2</v>
      </c>
      <c r="B76" s="59" t="s">
        <v>7</v>
      </c>
      <c r="C76" s="59" t="s">
        <v>106</v>
      </c>
      <c r="D76" s="59" t="s">
        <v>34</v>
      </c>
      <c r="E76" s="59" t="n">
        <v>33.012</v>
      </c>
      <c r="F76" s="59" t="n">
        <v>27.957</v>
      </c>
      <c r="G76" s="59" t="n">
        <v>4.652</v>
      </c>
      <c r="H76" s="59" t="n">
        <v>0.219</v>
      </c>
    </row>
    <row r="77" customFormat="false" ht="15.75" hidden="false" customHeight="false" outlineLevel="0" collapsed="false">
      <c r="A77" s="59" t="n">
        <v>2</v>
      </c>
      <c r="B77" s="59" t="s">
        <v>8</v>
      </c>
      <c r="C77" s="59" t="s">
        <v>134</v>
      </c>
      <c r="D77" s="59" t="s">
        <v>34</v>
      </c>
      <c r="E77" s="59" t="n">
        <v>31.702</v>
      </c>
      <c r="F77" s="59" t="n">
        <v>27.957</v>
      </c>
      <c r="G77" s="59" t="n">
        <v>4.652</v>
      </c>
      <c r="H77" s="59" t="n">
        <v>0.219</v>
      </c>
    </row>
    <row r="78" customFormat="false" ht="15.75" hidden="false" customHeight="false" outlineLevel="0" collapsed="false">
      <c r="A78" s="59" t="n">
        <v>2</v>
      </c>
      <c r="B78" s="59" t="s">
        <v>9</v>
      </c>
      <c r="C78" s="59" t="s">
        <v>135</v>
      </c>
      <c r="D78" s="59" t="s">
        <v>34</v>
      </c>
      <c r="E78" s="59" t="n">
        <v>31.709</v>
      </c>
      <c r="F78" s="59" t="n">
        <v>27.957</v>
      </c>
      <c r="G78" s="59" t="n">
        <v>4.652</v>
      </c>
      <c r="H78" s="59" t="n">
        <v>0.219</v>
      </c>
    </row>
    <row r="79" customFormat="false" ht="15.75" hidden="false" customHeight="false" outlineLevel="0" collapsed="false">
      <c r="A79" s="59" t="n">
        <v>2</v>
      </c>
      <c r="B79" s="59" t="s">
        <v>10</v>
      </c>
      <c r="C79" s="59" t="s">
        <v>136</v>
      </c>
      <c r="D79" s="59" t="s">
        <v>34</v>
      </c>
      <c r="E79" s="59" t="n">
        <v>32.619</v>
      </c>
      <c r="F79" s="59" t="n">
        <v>27.957</v>
      </c>
      <c r="G79" s="59" t="n">
        <v>4.652</v>
      </c>
      <c r="H79" s="59" t="n">
        <v>0.219</v>
      </c>
    </row>
    <row r="80" customFormat="false" ht="15.75" hidden="false" customHeight="false" outlineLevel="0" collapsed="false">
      <c r="A80" s="59" t="n">
        <v>2</v>
      </c>
      <c r="B80" s="59" t="s">
        <v>11</v>
      </c>
      <c r="C80" s="59" t="s">
        <v>137</v>
      </c>
      <c r="D80" s="59" t="s">
        <v>34</v>
      </c>
      <c r="E80" s="59" t="n">
        <v>32.23</v>
      </c>
      <c r="F80" s="59" t="n">
        <v>27.957</v>
      </c>
      <c r="G80" s="59" t="n">
        <v>4.652</v>
      </c>
      <c r="H80" s="59" t="n">
        <v>0.219</v>
      </c>
    </row>
    <row r="81" customFormat="false" ht="15.75" hidden="false" customHeight="false" outlineLevel="0" collapsed="false">
      <c r="A81" s="59" t="n">
        <v>2</v>
      </c>
      <c r="B81" s="59" t="s">
        <v>23</v>
      </c>
      <c r="C81" s="59" t="s">
        <v>138</v>
      </c>
      <c r="D81" s="59" t="s">
        <v>34</v>
      </c>
      <c r="E81" s="59" t="n">
        <v>31.949</v>
      </c>
      <c r="F81" s="59" t="n">
        <v>27.957</v>
      </c>
      <c r="G81" s="59" t="n">
        <v>4.652</v>
      </c>
      <c r="H81" s="59" t="n">
        <v>0.219</v>
      </c>
    </row>
    <row r="82" customFormat="false" ht="15.75" hidden="false" customHeight="false" outlineLevel="0" collapsed="false">
      <c r="A82" s="59" t="n">
        <v>2</v>
      </c>
      <c r="B82" s="59" t="s">
        <v>24</v>
      </c>
      <c r="C82" s="59" t="s">
        <v>139</v>
      </c>
      <c r="D82" s="59" t="s">
        <v>34</v>
      </c>
      <c r="E82" s="59" t="n">
        <v>31.22</v>
      </c>
      <c r="F82" s="59" t="n">
        <v>27.957</v>
      </c>
      <c r="G82" s="59" t="n">
        <v>4.652</v>
      </c>
      <c r="H82" s="59" t="n">
        <v>0.219</v>
      </c>
    </row>
    <row r="83" customFormat="false" ht="15.75" hidden="false" customHeight="false" outlineLevel="0" collapsed="false">
      <c r="A83" s="59" t="n">
        <v>2</v>
      </c>
      <c r="B83" s="59" t="s">
        <v>25</v>
      </c>
      <c r="C83" s="59" t="s">
        <v>140</v>
      </c>
      <c r="D83" s="59" t="s">
        <v>34</v>
      </c>
      <c r="E83" s="59" t="n">
        <v>31.857</v>
      </c>
      <c r="F83" s="59" t="n">
        <v>27.957</v>
      </c>
      <c r="G83" s="59" t="n">
        <v>4.652</v>
      </c>
      <c r="H83" s="59" t="n">
        <v>0.219</v>
      </c>
    </row>
    <row r="84" customFormat="false" ht="15.75" hidden="false" customHeight="false" outlineLevel="0" collapsed="false">
      <c r="A84" s="59" t="n">
        <v>2</v>
      </c>
      <c r="B84" s="59" t="s">
        <v>26</v>
      </c>
      <c r="C84" s="59" t="s">
        <v>141</v>
      </c>
      <c r="D84" s="59" t="s">
        <v>34</v>
      </c>
      <c r="E84" s="59" t="n">
        <v>31.761</v>
      </c>
      <c r="F84" s="59" t="n">
        <v>27.957</v>
      </c>
      <c r="G84" s="59" t="n">
        <v>4.652</v>
      </c>
      <c r="H84" s="59" t="n">
        <v>0.219</v>
      </c>
    </row>
    <row r="85" customFormat="false" ht="15.75" hidden="false" customHeight="false" outlineLevel="0" collapsed="false">
      <c r="A85" s="59" t="n">
        <v>2</v>
      </c>
      <c r="B85" s="59" t="s">
        <v>27</v>
      </c>
      <c r="C85" s="59" t="s">
        <v>142</v>
      </c>
      <c r="D85" s="59" t="s">
        <v>34</v>
      </c>
      <c r="E85" s="59" t="n">
        <v>30.97</v>
      </c>
      <c r="F85" s="59" t="n">
        <v>27.957</v>
      </c>
      <c r="G85" s="59" t="n">
        <v>4.652</v>
      </c>
      <c r="H85" s="59" t="n">
        <v>0.219</v>
      </c>
    </row>
    <row r="86" customFormat="false" ht="15.75" hidden="false" customHeight="false" outlineLevel="0" collapsed="false">
      <c r="A86" s="59" t="n">
        <v>2</v>
      </c>
      <c r="B86" s="59" t="s">
        <v>28</v>
      </c>
      <c r="C86" s="59" t="s">
        <v>143</v>
      </c>
      <c r="D86" s="59" t="s">
        <v>34</v>
      </c>
      <c r="E86" s="59" t="n">
        <v>31.718</v>
      </c>
      <c r="F86" s="59" t="n">
        <v>27.957</v>
      </c>
      <c r="G86" s="59" t="n">
        <v>4.652</v>
      </c>
      <c r="H86" s="59" t="n">
        <v>0.219</v>
      </c>
    </row>
    <row r="87" customFormat="false" ht="15.75" hidden="false" customHeight="false" outlineLevel="0" collapsed="false">
      <c r="A87" s="59" t="n">
        <v>2</v>
      </c>
      <c r="B87" s="59" t="s">
        <v>29</v>
      </c>
      <c r="C87" s="59" t="s">
        <v>144</v>
      </c>
      <c r="D87" s="59" t="s">
        <v>34</v>
      </c>
      <c r="E87" s="59" t="n">
        <v>32.357</v>
      </c>
      <c r="F87" s="59" t="n">
        <v>27.957</v>
      </c>
      <c r="G87" s="59" t="n">
        <v>4.652</v>
      </c>
      <c r="H87" s="59" t="n">
        <v>0.219</v>
      </c>
    </row>
    <row r="88" customFormat="false" ht="15.75" hidden="false" customHeight="false" outlineLevel="0" collapsed="false">
      <c r="A88" s="59" t="n">
        <v>2</v>
      </c>
      <c r="B88" s="59" t="s">
        <v>30</v>
      </c>
      <c r="C88" s="59" t="s">
        <v>145</v>
      </c>
      <c r="D88" s="59" t="s">
        <v>34</v>
      </c>
      <c r="E88" s="59" t="n">
        <v>31.78</v>
      </c>
      <c r="F88" s="59" t="n">
        <v>27.957</v>
      </c>
      <c r="G88" s="59" t="n">
        <v>4.652</v>
      </c>
      <c r="H88" s="59" t="n">
        <v>0.219</v>
      </c>
    </row>
    <row r="89" customFormat="false" ht="15.75" hidden="false" customHeight="false" outlineLevel="0" collapsed="false">
      <c r="A89" s="59" t="n">
        <v>2</v>
      </c>
      <c r="B89" s="59" t="s">
        <v>31</v>
      </c>
      <c r="C89" s="59" t="s">
        <v>146</v>
      </c>
      <c r="D89" s="59" t="s">
        <v>34</v>
      </c>
      <c r="E89" s="59" t="n">
        <v>32.291</v>
      </c>
      <c r="F89" s="59" t="n">
        <v>27.957</v>
      </c>
      <c r="G89" s="59" t="n">
        <v>4.652</v>
      </c>
      <c r="H89" s="59" t="n">
        <v>0.219</v>
      </c>
    </row>
    <row r="90" customFormat="false" ht="15.75" hidden="false" customHeight="false" outlineLevel="0" collapsed="false">
      <c r="A90" s="59" t="n">
        <v>3</v>
      </c>
      <c r="B90" s="59" t="n">
        <v>100</v>
      </c>
      <c r="C90" s="62" t="n">
        <v>1</v>
      </c>
      <c r="D90" s="59" t="s">
        <v>37</v>
      </c>
      <c r="E90" s="59" t="n">
        <v>28.998</v>
      </c>
      <c r="F90" s="59" t="n">
        <v>26.045</v>
      </c>
      <c r="G90" s="59" t="n">
        <v>2.36</v>
      </c>
      <c r="H90" s="59" t="n">
        <v>0.168</v>
      </c>
    </row>
    <row r="91" customFormat="false" ht="15.75" hidden="false" customHeight="false" outlineLevel="0" collapsed="false">
      <c r="A91" s="59" t="n">
        <v>3</v>
      </c>
      <c r="B91" s="59" t="n">
        <v>10</v>
      </c>
      <c r="C91" s="62" t="n">
        <v>0.1</v>
      </c>
      <c r="D91" s="59" t="s">
        <v>37</v>
      </c>
      <c r="E91" s="59" t="n">
        <v>27.722</v>
      </c>
      <c r="F91" s="59" t="n">
        <v>26.045</v>
      </c>
      <c r="G91" s="59" t="n">
        <v>2.36</v>
      </c>
      <c r="H91" s="59" t="n">
        <v>0.168</v>
      </c>
    </row>
    <row r="92" customFormat="false" ht="15.75" hidden="false" customHeight="false" outlineLevel="0" collapsed="false">
      <c r="A92" s="59" t="n">
        <v>3</v>
      </c>
      <c r="B92" s="59" t="n">
        <v>1</v>
      </c>
      <c r="C92" s="62" t="n">
        <v>0.01</v>
      </c>
      <c r="D92" s="59" t="s">
        <v>37</v>
      </c>
      <c r="E92" s="59" t="n">
        <v>31.877</v>
      </c>
      <c r="F92" s="59" t="n">
        <v>26.045</v>
      </c>
      <c r="G92" s="59" t="n">
        <v>2.36</v>
      </c>
      <c r="H92" s="59" t="n">
        <v>0.168</v>
      </c>
    </row>
    <row r="93" customFormat="false" ht="15.75" hidden="false" customHeight="false" outlineLevel="0" collapsed="false">
      <c r="A93" s="59" t="n">
        <v>3</v>
      </c>
      <c r="B93" s="59" t="n">
        <v>0.1</v>
      </c>
      <c r="C93" s="63" t="n">
        <v>0.001</v>
      </c>
      <c r="D93" s="59" t="s">
        <v>37</v>
      </c>
      <c r="E93" s="59" t="n">
        <v>34.145</v>
      </c>
      <c r="F93" s="59" t="n">
        <v>26.045</v>
      </c>
      <c r="G93" s="59" t="n">
        <v>2.36</v>
      </c>
      <c r="H93" s="59" t="n">
        <v>0.168</v>
      </c>
    </row>
    <row r="94" customFormat="false" ht="15.75" hidden="false" customHeight="false" outlineLevel="0" collapsed="false">
      <c r="A94" s="59" t="n">
        <v>3</v>
      </c>
      <c r="B94" s="59" t="s">
        <v>3</v>
      </c>
      <c r="C94" s="59" t="s">
        <v>131</v>
      </c>
      <c r="D94" s="59" t="s">
        <v>37</v>
      </c>
      <c r="E94" s="59" t="n">
        <v>25.634</v>
      </c>
      <c r="F94" s="59" t="n">
        <v>26.045</v>
      </c>
      <c r="G94" s="59" t="n">
        <v>2.36</v>
      </c>
      <c r="H94" s="59" t="n">
        <v>0.168</v>
      </c>
    </row>
    <row r="95" customFormat="false" ht="15.75" hidden="false" customHeight="false" outlineLevel="0" collapsed="false">
      <c r="A95" s="59" t="n">
        <v>3</v>
      </c>
      <c r="B95" s="59" t="s">
        <v>4</v>
      </c>
      <c r="C95" s="59" t="s">
        <v>132</v>
      </c>
      <c r="D95" s="59" t="s">
        <v>37</v>
      </c>
      <c r="E95" s="59" t="n">
        <v>25.872</v>
      </c>
      <c r="F95" s="59" t="n">
        <v>26.045</v>
      </c>
      <c r="G95" s="59" t="n">
        <v>2.36</v>
      </c>
      <c r="H95" s="59" t="n">
        <v>0.168</v>
      </c>
    </row>
    <row r="96" customFormat="false" ht="15.75" hidden="false" customHeight="false" outlineLevel="0" collapsed="false">
      <c r="A96" s="59" t="n">
        <v>3</v>
      </c>
      <c r="B96" s="59" t="s">
        <v>5</v>
      </c>
      <c r="C96" s="59" t="s">
        <v>133</v>
      </c>
      <c r="D96" s="59" t="s">
        <v>37</v>
      </c>
      <c r="E96" s="59" t="n">
        <v>25.635</v>
      </c>
      <c r="F96" s="59" t="n">
        <v>26.045</v>
      </c>
      <c r="G96" s="59" t="n">
        <v>2.36</v>
      </c>
      <c r="H96" s="59" t="n">
        <v>0.168</v>
      </c>
    </row>
    <row r="97" customFormat="false" ht="15.75" hidden="false" customHeight="false" outlineLevel="0" collapsed="false">
      <c r="A97" s="59" t="n">
        <v>3</v>
      </c>
      <c r="B97" s="59" t="s">
        <v>6</v>
      </c>
      <c r="C97" s="59" t="s">
        <v>105</v>
      </c>
      <c r="D97" s="59" t="s">
        <v>37</v>
      </c>
      <c r="E97" s="59" t="n">
        <v>26.234</v>
      </c>
      <c r="F97" s="59" t="n">
        <v>26.045</v>
      </c>
      <c r="G97" s="59" t="n">
        <v>2.36</v>
      </c>
      <c r="H97" s="59" t="n">
        <v>0.168</v>
      </c>
    </row>
    <row r="98" customFormat="false" ht="15.75" hidden="false" customHeight="false" outlineLevel="0" collapsed="false">
      <c r="A98" s="59" t="n">
        <v>3</v>
      </c>
      <c r="B98" s="59" t="s">
        <v>7</v>
      </c>
      <c r="C98" s="59" t="s">
        <v>106</v>
      </c>
      <c r="D98" s="59" t="s">
        <v>37</v>
      </c>
      <c r="E98" s="59" t="n">
        <v>26.604</v>
      </c>
      <c r="F98" s="59" t="n">
        <v>26.045</v>
      </c>
      <c r="G98" s="59" t="n">
        <v>2.36</v>
      </c>
      <c r="H98" s="59" t="n">
        <v>0.168</v>
      </c>
    </row>
    <row r="99" customFormat="false" ht="15.75" hidden="false" customHeight="false" outlineLevel="0" collapsed="false">
      <c r="A99" s="59" t="n">
        <v>3</v>
      </c>
      <c r="B99" s="59" t="s">
        <v>8</v>
      </c>
      <c r="C99" s="59" t="s">
        <v>134</v>
      </c>
      <c r="D99" s="59" t="s">
        <v>37</v>
      </c>
      <c r="E99" s="59" t="n">
        <v>25.277</v>
      </c>
      <c r="F99" s="59" t="n">
        <v>26.045</v>
      </c>
      <c r="G99" s="59" t="n">
        <v>2.36</v>
      </c>
      <c r="H99" s="59" t="n">
        <v>0.168</v>
      </c>
    </row>
    <row r="100" customFormat="false" ht="15.75" hidden="false" customHeight="false" outlineLevel="0" collapsed="false">
      <c r="A100" s="59" t="n">
        <v>3</v>
      </c>
      <c r="B100" s="59" t="s">
        <v>9</v>
      </c>
      <c r="C100" s="59" t="s">
        <v>135</v>
      </c>
      <c r="D100" s="59" t="s">
        <v>37</v>
      </c>
      <c r="E100" s="59" t="n">
        <v>25.778</v>
      </c>
      <c r="F100" s="59" t="n">
        <v>26.045</v>
      </c>
      <c r="G100" s="59" t="n">
        <v>2.36</v>
      </c>
      <c r="H100" s="59" t="n">
        <v>0.168</v>
      </c>
    </row>
    <row r="101" customFormat="false" ht="15.75" hidden="false" customHeight="false" outlineLevel="0" collapsed="false">
      <c r="A101" s="59" t="n">
        <v>3</v>
      </c>
      <c r="B101" s="59" t="s">
        <v>10</v>
      </c>
      <c r="C101" s="59" t="s">
        <v>136</v>
      </c>
      <c r="D101" s="59" t="s">
        <v>37</v>
      </c>
      <c r="E101" s="59" t="n">
        <v>26.368</v>
      </c>
      <c r="F101" s="59" t="n">
        <v>26.045</v>
      </c>
      <c r="G101" s="59" t="n">
        <v>2.36</v>
      </c>
      <c r="H101" s="59" t="n">
        <v>0.168</v>
      </c>
    </row>
    <row r="102" customFormat="false" ht="15.75" hidden="false" customHeight="false" outlineLevel="0" collapsed="false">
      <c r="A102" s="59" t="n">
        <v>3</v>
      </c>
      <c r="B102" s="59" t="s">
        <v>11</v>
      </c>
      <c r="C102" s="59" t="s">
        <v>137</v>
      </c>
      <c r="D102" s="59" t="s">
        <v>37</v>
      </c>
      <c r="E102" s="59" t="n">
        <v>25.87</v>
      </c>
      <c r="F102" s="59" t="n">
        <v>26.045</v>
      </c>
      <c r="G102" s="59" t="n">
        <v>2.36</v>
      </c>
      <c r="H102" s="59" t="n">
        <v>0.168</v>
      </c>
    </row>
    <row r="103" customFormat="false" ht="15.75" hidden="false" customHeight="false" outlineLevel="0" collapsed="false">
      <c r="A103" s="59" t="n">
        <v>3</v>
      </c>
      <c r="B103" s="59" t="s">
        <v>23</v>
      </c>
      <c r="C103" s="59" t="s">
        <v>138</v>
      </c>
      <c r="D103" s="59" t="s">
        <v>37</v>
      </c>
      <c r="E103" s="59" t="n">
        <v>26.028</v>
      </c>
      <c r="F103" s="59" t="n">
        <v>26.045</v>
      </c>
      <c r="G103" s="59" t="n">
        <v>2.36</v>
      </c>
      <c r="H103" s="59" t="n">
        <v>0.168</v>
      </c>
    </row>
    <row r="104" customFormat="false" ht="15.75" hidden="false" customHeight="false" outlineLevel="0" collapsed="false">
      <c r="A104" s="59" t="n">
        <v>3</v>
      </c>
      <c r="B104" s="59" t="s">
        <v>24</v>
      </c>
      <c r="C104" s="59" t="s">
        <v>139</v>
      </c>
      <c r="D104" s="59" t="s">
        <v>37</v>
      </c>
      <c r="E104" s="59" t="n">
        <v>26.586</v>
      </c>
      <c r="F104" s="59" t="n">
        <v>26.045</v>
      </c>
      <c r="G104" s="59" t="n">
        <v>2.36</v>
      </c>
      <c r="H104" s="59" t="n">
        <v>0.168</v>
      </c>
    </row>
    <row r="105" customFormat="false" ht="15.75" hidden="false" customHeight="false" outlineLevel="0" collapsed="false">
      <c r="A105" s="59" t="n">
        <v>3</v>
      </c>
      <c r="B105" s="59" t="s">
        <v>25</v>
      </c>
      <c r="C105" s="59" t="s">
        <v>140</v>
      </c>
      <c r="D105" s="59" t="s">
        <v>37</v>
      </c>
      <c r="E105" s="59" t="n">
        <v>26.164</v>
      </c>
      <c r="F105" s="59" t="n">
        <v>26.045</v>
      </c>
      <c r="G105" s="59" t="n">
        <v>2.36</v>
      </c>
      <c r="H105" s="59" t="n">
        <v>0.168</v>
      </c>
    </row>
    <row r="106" customFormat="false" ht="15.75" hidden="false" customHeight="false" outlineLevel="0" collapsed="false">
      <c r="A106" s="59" t="n">
        <v>3</v>
      </c>
      <c r="B106" s="59" t="s">
        <v>26</v>
      </c>
      <c r="C106" s="59" t="s">
        <v>141</v>
      </c>
      <c r="D106" s="59" t="s">
        <v>37</v>
      </c>
      <c r="E106" s="59" t="n">
        <v>25.881</v>
      </c>
      <c r="F106" s="59" t="n">
        <v>26.045</v>
      </c>
      <c r="G106" s="59" t="n">
        <v>2.36</v>
      </c>
      <c r="H106" s="59" t="n">
        <v>0.168</v>
      </c>
    </row>
    <row r="107" customFormat="false" ht="15.75" hidden="false" customHeight="false" outlineLevel="0" collapsed="false">
      <c r="A107" s="59" t="n">
        <v>3</v>
      </c>
      <c r="B107" s="59" t="s">
        <v>27</v>
      </c>
      <c r="C107" s="59" t="s">
        <v>142</v>
      </c>
      <c r="D107" s="59" t="s">
        <v>37</v>
      </c>
      <c r="E107" s="59" t="n">
        <v>25.196</v>
      </c>
      <c r="F107" s="59" t="n">
        <v>26.045</v>
      </c>
      <c r="G107" s="59" t="n">
        <v>2.36</v>
      </c>
      <c r="H107" s="59" t="n">
        <v>0.168</v>
      </c>
    </row>
    <row r="108" customFormat="false" ht="15.75" hidden="false" customHeight="false" outlineLevel="0" collapsed="false">
      <c r="A108" s="59" t="n">
        <v>3</v>
      </c>
      <c r="B108" s="59" t="s">
        <v>28</v>
      </c>
      <c r="C108" s="59" t="s">
        <v>143</v>
      </c>
      <c r="D108" s="59" t="s">
        <v>37</v>
      </c>
      <c r="E108" s="59" t="n">
        <v>26.128</v>
      </c>
      <c r="F108" s="59" t="n">
        <v>26.045</v>
      </c>
      <c r="G108" s="59" t="n">
        <v>2.36</v>
      </c>
      <c r="H108" s="59" t="n">
        <v>0.168</v>
      </c>
    </row>
    <row r="109" customFormat="false" ht="15.75" hidden="false" customHeight="false" outlineLevel="0" collapsed="false">
      <c r="A109" s="59" t="n">
        <v>3</v>
      </c>
      <c r="B109" s="59" t="s">
        <v>29</v>
      </c>
      <c r="C109" s="59" t="s">
        <v>144</v>
      </c>
      <c r="D109" s="59" t="s">
        <v>37</v>
      </c>
      <c r="E109" s="59" t="n">
        <v>25.577</v>
      </c>
      <c r="F109" s="59" t="n">
        <v>26.045</v>
      </c>
      <c r="G109" s="59" t="n">
        <v>2.36</v>
      </c>
      <c r="H109" s="59" t="n">
        <v>0.168</v>
      </c>
    </row>
    <row r="110" customFormat="false" ht="15.75" hidden="false" customHeight="false" outlineLevel="0" collapsed="false">
      <c r="A110" s="59" t="n">
        <v>3</v>
      </c>
      <c r="B110" s="59" t="s">
        <v>30</v>
      </c>
      <c r="C110" s="59" t="s">
        <v>145</v>
      </c>
      <c r="D110" s="59" t="s">
        <v>37</v>
      </c>
      <c r="E110" s="59" t="n">
        <v>25.796</v>
      </c>
      <c r="F110" s="59" t="n">
        <v>26.045</v>
      </c>
      <c r="G110" s="59" t="n">
        <v>2.36</v>
      </c>
      <c r="H110" s="59" t="n">
        <v>0.168</v>
      </c>
    </row>
    <row r="111" customFormat="false" ht="15.75" hidden="false" customHeight="false" outlineLevel="0" collapsed="false">
      <c r="A111" s="59" t="n">
        <v>3</v>
      </c>
      <c r="B111" s="59" t="s">
        <v>31</v>
      </c>
      <c r="C111" s="59" t="s">
        <v>146</v>
      </c>
      <c r="D111" s="59" t="s">
        <v>37</v>
      </c>
      <c r="E111" s="59" t="n">
        <v>26.153</v>
      </c>
      <c r="F111" s="59" t="n">
        <v>26.045</v>
      </c>
      <c r="G111" s="59" t="n">
        <v>2.36</v>
      </c>
      <c r="H111" s="59" t="n">
        <v>0.168</v>
      </c>
    </row>
    <row r="112" customFormat="false" ht="15.75" hidden="false" customHeight="false" outlineLevel="0" collapsed="false">
      <c r="A112" s="59" t="n">
        <v>3</v>
      </c>
      <c r="B112" s="59" t="n">
        <v>100</v>
      </c>
      <c r="C112" s="62" t="n">
        <v>1</v>
      </c>
      <c r="D112" s="59" t="s">
        <v>38</v>
      </c>
      <c r="E112" s="59" t="n">
        <v>30.133</v>
      </c>
      <c r="F112" s="59" t="n">
        <v>26.045</v>
      </c>
      <c r="G112" s="59" t="n">
        <v>2.36</v>
      </c>
      <c r="H112" s="59" t="n">
        <v>0.168</v>
      </c>
    </row>
    <row r="113" customFormat="false" ht="15.75" hidden="false" customHeight="false" outlineLevel="0" collapsed="false">
      <c r="A113" s="59" t="n">
        <v>3</v>
      </c>
      <c r="B113" s="59" t="n">
        <v>10</v>
      </c>
      <c r="C113" s="62" t="n">
        <v>0.1</v>
      </c>
      <c r="D113" s="59" t="s">
        <v>38</v>
      </c>
      <c r="E113" s="59" t="n">
        <v>25.832</v>
      </c>
      <c r="F113" s="59" t="n">
        <v>26.045</v>
      </c>
      <c r="G113" s="59" t="n">
        <v>2.36</v>
      </c>
      <c r="H113" s="59" t="n">
        <v>0.168</v>
      </c>
    </row>
    <row r="114" customFormat="false" ht="15.75" hidden="false" customHeight="false" outlineLevel="0" collapsed="false">
      <c r="A114" s="59" t="n">
        <v>3</v>
      </c>
      <c r="B114" s="59" t="n">
        <v>1</v>
      </c>
      <c r="C114" s="62" t="n">
        <v>0.01</v>
      </c>
      <c r="D114" s="59" t="s">
        <v>38</v>
      </c>
      <c r="E114" s="59" t="n">
        <v>29.306</v>
      </c>
      <c r="F114" s="59" t="n">
        <v>26.045</v>
      </c>
      <c r="G114" s="59" t="n">
        <v>2.36</v>
      </c>
      <c r="H114" s="59" t="n">
        <v>0.168</v>
      </c>
    </row>
    <row r="115" customFormat="false" ht="15.75" hidden="false" customHeight="false" outlineLevel="0" collapsed="false">
      <c r="A115" s="59" t="n">
        <v>3</v>
      </c>
      <c r="B115" s="59" t="n">
        <v>0.1</v>
      </c>
      <c r="C115" s="63" t="n">
        <v>0.001</v>
      </c>
      <c r="D115" s="59" t="s">
        <v>38</v>
      </c>
      <c r="E115" s="59" t="n">
        <v>32.268</v>
      </c>
      <c r="F115" s="59" t="n">
        <v>26.045</v>
      </c>
      <c r="G115" s="59" t="n">
        <v>2.36</v>
      </c>
      <c r="H115" s="59" t="n">
        <v>0.168</v>
      </c>
    </row>
    <row r="116" customFormat="false" ht="15.75" hidden="false" customHeight="false" outlineLevel="0" collapsed="false">
      <c r="A116" s="59" t="n">
        <v>3</v>
      </c>
      <c r="B116" s="59" t="s">
        <v>3</v>
      </c>
      <c r="C116" s="59" t="s">
        <v>131</v>
      </c>
      <c r="D116" s="59" t="s">
        <v>38</v>
      </c>
      <c r="E116" s="59" t="n">
        <v>23.562</v>
      </c>
      <c r="F116" s="59" t="n">
        <v>26.045</v>
      </c>
      <c r="G116" s="59" t="n">
        <v>2.36</v>
      </c>
      <c r="H116" s="59" t="n">
        <v>0.168</v>
      </c>
    </row>
    <row r="117" customFormat="false" ht="15.75" hidden="false" customHeight="false" outlineLevel="0" collapsed="false">
      <c r="A117" s="59" t="n">
        <v>3</v>
      </c>
      <c r="B117" s="59" t="s">
        <v>4</v>
      </c>
      <c r="C117" s="59" t="s">
        <v>132</v>
      </c>
      <c r="D117" s="59" t="s">
        <v>38</v>
      </c>
      <c r="E117" s="59" t="n">
        <v>24.223</v>
      </c>
      <c r="F117" s="59" t="n">
        <v>26.045</v>
      </c>
      <c r="G117" s="59" t="n">
        <v>2.36</v>
      </c>
      <c r="H117" s="59" t="n">
        <v>0.168</v>
      </c>
    </row>
    <row r="118" customFormat="false" ht="15.75" hidden="false" customHeight="false" outlineLevel="0" collapsed="false">
      <c r="A118" s="59" t="n">
        <v>3</v>
      </c>
      <c r="B118" s="59" t="s">
        <v>5</v>
      </c>
      <c r="C118" s="59" t="s">
        <v>133</v>
      </c>
      <c r="D118" s="59" t="s">
        <v>38</v>
      </c>
      <c r="E118" s="59" t="n">
        <v>23.437</v>
      </c>
      <c r="F118" s="59" t="n">
        <v>26.045</v>
      </c>
      <c r="G118" s="59" t="n">
        <v>2.36</v>
      </c>
      <c r="H118" s="59" t="n">
        <v>0.168</v>
      </c>
    </row>
    <row r="119" customFormat="false" ht="15.75" hidden="false" customHeight="false" outlineLevel="0" collapsed="false">
      <c r="A119" s="59" t="n">
        <v>3</v>
      </c>
      <c r="B119" s="59" t="s">
        <v>6</v>
      </c>
      <c r="C119" s="59" t="s">
        <v>105</v>
      </c>
      <c r="D119" s="59" t="s">
        <v>38</v>
      </c>
      <c r="E119" s="59" t="n">
        <v>24.343</v>
      </c>
      <c r="F119" s="59" t="n">
        <v>26.045</v>
      </c>
      <c r="G119" s="59" t="n">
        <v>2.36</v>
      </c>
      <c r="H119" s="59" t="n">
        <v>0.168</v>
      </c>
    </row>
    <row r="120" customFormat="false" ht="15.75" hidden="false" customHeight="false" outlineLevel="0" collapsed="false">
      <c r="A120" s="59" t="n">
        <v>3</v>
      </c>
      <c r="B120" s="59" t="s">
        <v>7</v>
      </c>
      <c r="C120" s="59" t="s">
        <v>106</v>
      </c>
      <c r="D120" s="59" t="s">
        <v>38</v>
      </c>
      <c r="E120" s="59" t="n">
        <v>26.401</v>
      </c>
      <c r="F120" s="59" t="n">
        <v>26.045</v>
      </c>
      <c r="G120" s="59" t="n">
        <v>2.36</v>
      </c>
      <c r="H120" s="59" t="n">
        <v>0.168</v>
      </c>
    </row>
    <row r="121" customFormat="false" ht="15.75" hidden="false" customHeight="false" outlineLevel="0" collapsed="false">
      <c r="A121" s="59" t="n">
        <v>3</v>
      </c>
      <c r="B121" s="59" t="s">
        <v>8</v>
      </c>
      <c r="C121" s="59" t="s">
        <v>134</v>
      </c>
      <c r="D121" s="59" t="s">
        <v>38</v>
      </c>
      <c r="E121" s="59" t="n">
        <v>23.878</v>
      </c>
      <c r="F121" s="59" t="n">
        <v>26.045</v>
      </c>
      <c r="G121" s="59" t="n">
        <v>2.36</v>
      </c>
      <c r="H121" s="59" t="n">
        <v>0.168</v>
      </c>
    </row>
    <row r="122" customFormat="false" ht="15.75" hidden="false" customHeight="false" outlineLevel="0" collapsed="false">
      <c r="A122" s="59" t="n">
        <v>3</v>
      </c>
      <c r="B122" s="59" t="s">
        <v>9</v>
      </c>
      <c r="C122" s="59" t="s">
        <v>135</v>
      </c>
      <c r="D122" s="59" t="s">
        <v>38</v>
      </c>
      <c r="E122" s="59" t="n">
        <v>23.482</v>
      </c>
      <c r="F122" s="59" t="n">
        <v>26.045</v>
      </c>
      <c r="G122" s="59" t="n">
        <v>2.36</v>
      </c>
      <c r="H122" s="59" t="n">
        <v>0.168</v>
      </c>
    </row>
    <row r="123" customFormat="false" ht="15.75" hidden="false" customHeight="false" outlineLevel="0" collapsed="false">
      <c r="A123" s="59" t="n">
        <v>3</v>
      </c>
      <c r="B123" s="59" t="s">
        <v>10</v>
      </c>
      <c r="C123" s="59" t="s">
        <v>136</v>
      </c>
      <c r="D123" s="59" t="s">
        <v>38</v>
      </c>
      <c r="E123" s="59" t="n">
        <v>24.78</v>
      </c>
      <c r="F123" s="59" t="n">
        <v>26.045</v>
      </c>
      <c r="G123" s="59" t="n">
        <v>2.36</v>
      </c>
      <c r="H123" s="59" t="n">
        <v>0.168</v>
      </c>
    </row>
    <row r="124" customFormat="false" ht="15.75" hidden="false" customHeight="false" outlineLevel="0" collapsed="false">
      <c r="A124" s="59" t="n">
        <v>3</v>
      </c>
      <c r="B124" s="59" t="s">
        <v>11</v>
      </c>
      <c r="C124" s="59" t="s">
        <v>137</v>
      </c>
      <c r="D124" s="59" t="s">
        <v>38</v>
      </c>
      <c r="E124" s="59" t="n">
        <v>23.611</v>
      </c>
      <c r="F124" s="59" t="n">
        <v>26.045</v>
      </c>
      <c r="G124" s="59" t="n">
        <v>2.36</v>
      </c>
      <c r="H124" s="59" t="n">
        <v>0.168</v>
      </c>
    </row>
    <row r="125" customFormat="false" ht="15.75" hidden="false" customHeight="false" outlineLevel="0" collapsed="false">
      <c r="A125" s="59" t="n">
        <v>3</v>
      </c>
      <c r="B125" s="59" t="s">
        <v>23</v>
      </c>
      <c r="C125" s="59" t="s">
        <v>138</v>
      </c>
      <c r="D125" s="59" t="s">
        <v>38</v>
      </c>
      <c r="E125" s="59" t="n">
        <v>24.262</v>
      </c>
      <c r="F125" s="59" t="n">
        <v>26.045</v>
      </c>
      <c r="G125" s="59" t="n">
        <v>2.36</v>
      </c>
      <c r="H125" s="59" t="n">
        <v>0.168</v>
      </c>
    </row>
    <row r="126" customFormat="false" ht="15.75" hidden="false" customHeight="false" outlineLevel="0" collapsed="false">
      <c r="A126" s="59" t="n">
        <v>3</v>
      </c>
      <c r="B126" s="59" t="s">
        <v>24</v>
      </c>
      <c r="C126" s="59" t="s">
        <v>139</v>
      </c>
      <c r="D126" s="59" t="s">
        <v>38</v>
      </c>
      <c r="E126" s="59" t="n">
        <v>25.228</v>
      </c>
      <c r="F126" s="59" t="n">
        <v>26.045</v>
      </c>
      <c r="G126" s="59" t="n">
        <v>2.36</v>
      </c>
      <c r="H126" s="59" t="n">
        <v>0.168</v>
      </c>
    </row>
    <row r="127" customFormat="false" ht="15.75" hidden="false" customHeight="false" outlineLevel="0" collapsed="false">
      <c r="A127" s="59" t="n">
        <v>3</v>
      </c>
      <c r="B127" s="59" t="s">
        <v>25</v>
      </c>
      <c r="C127" s="59" t="s">
        <v>140</v>
      </c>
      <c r="D127" s="59" t="s">
        <v>38</v>
      </c>
      <c r="E127" s="59" t="n">
        <v>24.565</v>
      </c>
      <c r="F127" s="59" t="n">
        <v>26.045</v>
      </c>
      <c r="G127" s="59" t="n">
        <v>2.36</v>
      </c>
      <c r="H127" s="59" t="n">
        <v>0.168</v>
      </c>
    </row>
    <row r="128" customFormat="false" ht="15.75" hidden="false" customHeight="false" outlineLevel="0" collapsed="false">
      <c r="A128" s="59" t="n">
        <v>3</v>
      </c>
      <c r="B128" s="59" t="s">
        <v>26</v>
      </c>
      <c r="C128" s="59" t="s">
        <v>141</v>
      </c>
      <c r="D128" s="59" t="s">
        <v>38</v>
      </c>
      <c r="E128" s="59" t="n">
        <v>24.47</v>
      </c>
      <c r="F128" s="59" t="n">
        <v>26.045</v>
      </c>
      <c r="G128" s="59" t="n">
        <v>2.36</v>
      </c>
      <c r="H128" s="59" t="n">
        <v>0.168</v>
      </c>
    </row>
    <row r="129" customFormat="false" ht="15.75" hidden="false" customHeight="false" outlineLevel="0" collapsed="false">
      <c r="A129" s="59" t="n">
        <v>3</v>
      </c>
      <c r="B129" s="59" t="s">
        <v>27</v>
      </c>
      <c r="C129" s="59" t="s">
        <v>142</v>
      </c>
      <c r="D129" s="59" t="s">
        <v>38</v>
      </c>
      <c r="E129" s="59" t="n">
        <v>24.17</v>
      </c>
      <c r="F129" s="59" t="n">
        <v>26.045</v>
      </c>
      <c r="G129" s="59" t="n">
        <v>2.36</v>
      </c>
      <c r="H129" s="59" t="n">
        <v>0.168</v>
      </c>
    </row>
    <row r="130" customFormat="false" ht="15.75" hidden="false" customHeight="false" outlineLevel="0" collapsed="false">
      <c r="A130" s="59" t="n">
        <v>3</v>
      </c>
      <c r="B130" s="59" t="s">
        <v>28</v>
      </c>
      <c r="C130" s="59" t="s">
        <v>143</v>
      </c>
      <c r="D130" s="59" t="s">
        <v>38</v>
      </c>
      <c r="E130" s="59" t="n">
        <v>24.802</v>
      </c>
      <c r="F130" s="59" t="n">
        <v>26.045</v>
      </c>
      <c r="G130" s="59" t="n">
        <v>2.36</v>
      </c>
      <c r="H130" s="59" t="n">
        <v>0.168</v>
      </c>
    </row>
    <row r="131" customFormat="false" ht="15.75" hidden="false" customHeight="false" outlineLevel="0" collapsed="false">
      <c r="A131" s="59" t="n">
        <v>3</v>
      </c>
      <c r="B131" s="59" t="s">
        <v>29</v>
      </c>
      <c r="C131" s="59" t="s">
        <v>144</v>
      </c>
      <c r="D131" s="59" t="s">
        <v>38</v>
      </c>
      <c r="E131" s="59" t="n">
        <v>23.936</v>
      </c>
      <c r="F131" s="59" t="n">
        <v>26.045</v>
      </c>
      <c r="G131" s="59" t="n">
        <v>2.36</v>
      </c>
      <c r="H131" s="59" t="n">
        <v>0.168</v>
      </c>
    </row>
    <row r="132" customFormat="false" ht="15.75" hidden="false" customHeight="false" outlineLevel="0" collapsed="false">
      <c r="A132" s="59" t="n">
        <v>3</v>
      </c>
      <c r="B132" s="59" t="s">
        <v>30</v>
      </c>
      <c r="C132" s="59" t="s">
        <v>145</v>
      </c>
      <c r="D132" s="59" t="s">
        <v>38</v>
      </c>
      <c r="E132" s="59" t="n">
        <v>24.336</v>
      </c>
      <c r="F132" s="59" t="n">
        <v>26.045</v>
      </c>
      <c r="G132" s="59" t="n">
        <v>2.36</v>
      </c>
      <c r="H132" s="59" t="n">
        <v>0.168</v>
      </c>
    </row>
    <row r="133" customFormat="false" ht="15.75" hidden="false" customHeight="false" outlineLevel="0" collapsed="false">
      <c r="A133" s="59" t="n">
        <v>3</v>
      </c>
      <c r="B133" s="59" t="s">
        <v>31</v>
      </c>
      <c r="C133" s="59" t="s">
        <v>146</v>
      </c>
      <c r="D133" s="59" t="s">
        <v>38</v>
      </c>
      <c r="E133" s="59" t="n">
        <v>25.432</v>
      </c>
      <c r="F133" s="59" t="n">
        <v>26.045</v>
      </c>
      <c r="G133" s="59" t="n">
        <v>2.36</v>
      </c>
      <c r="H133" s="59" t="n">
        <v>0.168</v>
      </c>
    </row>
    <row r="134" customFormat="false" ht="15.75" hidden="false" customHeight="false" outlineLevel="0" collapsed="false">
      <c r="A134" s="59" t="n">
        <v>4</v>
      </c>
      <c r="B134" s="59" t="n">
        <v>100</v>
      </c>
      <c r="C134" s="62" t="n">
        <v>1</v>
      </c>
      <c r="D134" s="59" t="s">
        <v>35</v>
      </c>
      <c r="E134" s="59" t="s">
        <v>82</v>
      </c>
      <c r="F134" s="59" t="n">
        <v>21.808</v>
      </c>
      <c r="G134" s="59" t="n">
        <v>27.687</v>
      </c>
      <c r="H134" s="61" t="b">
        <f aca="false">TRUE()</f>
        <v>1</v>
      </c>
    </row>
    <row r="135" customFormat="false" ht="15.75" hidden="false" customHeight="false" outlineLevel="0" collapsed="false">
      <c r="A135" s="59" t="n">
        <v>4</v>
      </c>
      <c r="B135" s="59" t="n">
        <v>10</v>
      </c>
      <c r="C135" s="62" t="n">
        <v>0.1</v>
      </c>
      <c r="D135" s="59" t="s">
        <v>35</v>
      </c>
      <c r="E135" s="59" t="s">
        <v>82</v>
      </c>
      <c r="F135" s="59" t="n">
        <v>25.059</v>
      </c>
      <c r="G135" s="59" t="n">
        <v>27.687</v>
      </c>
      <c r="H135" s="61" t="b">
        <f aca="false">TRUE()</f>
        <v>1</v>
      </c>
    </row>
    <row r="136" customFormat="false" ht="15.75" hidden="false" customHeight="false" outlineLevel="0" collapsed="false">
      <c r="A136" s="59" t="n">
        <v>4</v>
      </c>
      <c r="B136" s="59" t="n">
        <v>1</v>
      </c>
      <c r="C136" s="62" t="n">
        <v>0.01</v>
      </c>
      <c r="D136" s="59" t="s">
        <v>35</v>
      </c>
      <c r="E136" s="59" t="s">
        <v>82</v>
      </c>
      <c r="F136" s="59" t="n">
        <v>28.38</v>
      </c>
      <c r="G136" s="59" t="n">
        <v>27.687</v>
      </c>
      <c r="H136" s="61" t="b">
        <f aca="false">TRUE()</f>
        <v>1</v>
      </c>
    </row>
    <row r="137" customFormat="false" ht="15.75" hidden="false" customHeight="false" outlineLevel="0" collapsed="false">
      <c r="A137" s="59" t="n">
        <v>4</v>
      </c>
      <c r="B137" s="59" t="n">
        <v>0.1</v>
      </c>
      <c r="C137" s="63" t="n">
        <v>0.001</v>
      </c>
      <c r="D137" s="59" t="s">
        <v>35</v>
      </c>
      <c r="E137" s="59" t="s">
        <v>82</v>
      </c>
      <c r="F137" s="59" t="n">
        <v>31.864</v>
      </c>
      <c r="G137" s="59" t="n">
        <v>27.687</v>
      </c>
      <c r="H137" s="61" t="b">
        <f aca="false">TRUE()</f>
        <v>1</v>
      </c>
    </row>
    <row r="138" customFormat="false" ht="15.75" hidden="false" customHeight="false" outlineLevel="0" collapsed="false">
      <c r="A138" s="59" t="n">
        <v>4</v>
      </c>
      <c r="B138" s="59" t="s">
        <v>3</v>
      </c>
      <c r="C138" s="59" t="s">
        <v>131</v>
      </c>
      <c r="D138" s="59" t="s">
        <v>35</v>
      </c>
      <c r="E138" s="59" t="s">
        <v>82</v>
      </c>
      <c r="F138" s="59" t="n">
        <v>22.893</v>
      </c>
      <c r="G138" s="59" t="n">
        <v>27.687</v>
      </c>
      <c r="H138" s="61" t="b">
        <f aca="false">TRUE()</f>
        <v>1</v>
      </c>
    </row>
    <row r="139" customFormat="false" ht="15.75" hidden="false" customHeight="false" outlineLevel="0" collapsed="false">
      <c r="A139" s="59" t="n">
        <v>4</v>
      </c>
      <c r="B139" s="59" t="s">
        <v>4</v>
      </c>
      <c r="C139" s="59" t="s">
        <v>132</v>
      </c>
      <c r="D139" s="59" t="s">
        <v>35</v>
      </c>
      <c r="E139" s="59" t="s">
        <v>82</v>
      </c>
      <c r="F139" s="59" t="n">
        <v>22.436</v>
      </c>
      <c r="G139" s="59" t="n">
        <v>27.687</v>
      </c>
      <c r="H139" s="61" t="b">
        <f aca="false">TRUE()</f>
        <v>1</v>
      </c>
    </row>
    <row r="140" customFormat="false" ht="15.75" hidden="false" customHeight="false" outlineLevel="0" collapsed="false">
      <c r="A140" s="59" t="n">
        <v>4</v>
      </c>
      <c r="B140" s="59" t="s">
        <v>5</v>
      </c>
      <c r="C140" s="59" t="s">
        <v>133</v>
      </c>
      <c r="D140" s="59" t="s">
        <v>35</v>
      </c>
      <c r="E140" s="59" t="s">
        <v>82</v>
      </c>
      <c r="F140" s="59" t="n">
        <v>22.742</v>
      </c>
      <c r="G140" s="59" t="n">
        <v>27.687</v>
      </c>
      <c r="H140" s="61" t="b">
        <f aca="false">TRUE()</f>
        <v>1</v>
      </c>
    </row>
    <row r="141" customFormat="false" ht="15.75" hidden="false" customHeight="false" outlineLevel="0" collapsed="false">
      <c r="A141" s="59" t="n">
        <v>4</v>
      </c>
      <c r="B141" s="59" t="s">
        <v>6</v>
      </c>
      <c r="C141" s="59" t="s">
        <v>105</v>
      </c>
      <c r="D141" s="59" t="s">
        <v>35</v>
      </c>
      <c r="E141" s="59" t="s">
        <v>82</v>
      </c>
      <c r="F141" s="59" t="n">
        <v>23.482</v>
      </c>
      <c r="G141" s="59" t="n">
        <v>27.687</v>
      </c>
      <c r="H141" s="61" t="b">
        <f aca="false">TRUE()</f>
        <v>1</v>
      </c>
    </row>
    <row r="142" customFormat="false" ht="15.75" hidden="false" customHeight="false" outlineLevel="0" collapsed="false">
      <c r="A142" s="59" t="n">
        <v>4</v>
      </c>
      <c r="B142" s="59" t="s">
        <v>7</v>
      </c>
      <c r="C142" s="59" t="s">
        <v>106</v>
      </c>
      <c r="D142" s="59" t="s">
        <v>35</v>
      </c>
      <c r="E142" s="59" t="s">
        <v>82</v>
      </c>
      <c r="F142" s="59" t="n">
        <v>24.942</v>
      </c>
      <c r="G142" s="59" t="n">
        <v>27.687</v>
      </c>
      <c r="H142" s="61" t="b">
        <f aca="false">TRUE()</f>
        <v>1</v>
      </c>
    </row>
    <row r="143" customFormat="false" ht="15.75" hidden="false" customHeight="false" outlineLevel="0" collapsed="false">
      <c r="A143" s="59" t="n">
        <v>4</v>
      </c>
      <c r="B143" s="59" t="s">
        <v>8</v>
      </c>
      <c r="C143" s="59" t="s">
        <v>134</v>
      </c>
      <c r="D143" s="59" t="s">
        <v>35</v>
      </c>
      <c r="E143" s="59" t="s">
        <v>82</v>
      </c>
      <c r="F143" s="59" t="n">
        <v>22.298</v>
      </c>
      <c r="G143" s="59" t="n">
        <v>27.687</v>
      </c>
      <c r="H143" s="61" t="b">
        <f aca="false">TRUE()</f>
        <v>1</v>
      </c>
    </row>
    <row r="144" customFormat="false" ht="15.75" hidden="false" customHeight="false" outlineLevel="0" collapsed="false">
      <c r="A144" s="59" t="n">
        <v>4</v>
      </c>
      <c r="B144" s="59" t="s">
        <v>9</v>
      </c>
      <c r="C144" s="59" t="s">
        <v>135</v>
      </c>
      <c r="D144" s="59" t="s">
        <v>35</v>
      </c>
      <c r="E144" s="59" t="s">
        <v>82</v>
      </c>
      <c r="F144" s="59" t="n">
        <v>23.168</v>
      </c>
      <c r="G144" s="59" t="n">
        <v>27.687</v>
      </c>
      <c r="H144" s="61" t="b">
        <f aca="false">TRUE()</f>
        <v>1</v>
      </c>
    </row>
    <row r="145" customFormat="false" ht="15.75" hidden="false" customHeight="false" outlineLevel="0" collapsed="false">
      <c r="A145" s="59" t="n">
        <v>4</v>
      </c>
      <c r="B145" s="59" t="s">
        <v>10</v>
      </c>
      <c r="C145" s="59" t="s">
        <v>136</v>
      </c>
      <c r="D145" s="59" t="s">
        <v>35</v>
      </c>
      <c r="E145" s="59" t="s">
        <v>82</v>
      </c>
      <c r="F145" s="59" t="n">
        <v>23.205</v>
      </c>
      <c r="G145" s="59" t="n">
        <v>27.687</v>
      </c>
      <c r="H145" s="61" t="b">
        <f aca="false">TRUE()</f>
        <v>1</v>
      </c>
    </row>
    <row r="146" customFormat="false" ht="15.75" hidden="false" customHeight="false" outlineLevel="0" collapsed="false">
      <c r="A146" s="59" t="n">
        <v>4</v>
      </c>
      <c r="B146" s="59" t="s">
        <v>11</v>
      </c>
      <c r="C146" s="59" t="s">
        <v>137</v>
      </c>
      <c r="D146" s="59" t="s">
        <v>35</v>
      </c>
      <c r="E146" s="59" t="s">
        <v>82</v>
      </c>
      <c r="F146" s="59" t="n">
        <v>23.213</v>
      </c>
      <c r="G146" s="59" t="n">
        <v>27.687</v>
      </c>
      <c r="H146" s="61" t="b">
        <f aca="false">TRUE()</f>
        <v>1</v>
      </c>
    </row>
    <row r="147" customFormat="false" ht="15.75" hidden="false" customHeight="false" outlineLevel="0" collapsed="false">
      <c r="A147" s="59" t="n">
        <v>4</v>
      </c>
      <c r="B147" s="59" t="s">
        <v>23</v>
      </c>
      <c r="C147" s="59" t="s">
        <v>138</v>
      </c>
      <c r="D147" s="59" t="s">
        <v>35</v>
      </c>
      <c r="E147" s="59" t="s">
        <v>82</v>
      </c>
      <c r="F147" s="59" t="n">
        <v>23.01</v>
      </c>
      <c r="G147" s="59" t="n">
        <v>27.687</v>
      </c>
      <c r="H147" s="61" t="b">
        <f aca="false">TRUE()</f>
        <v>1</v>
      </c>
    </row>
    <row r="148" customFormat="false" ht="15.75" hidden="false" customHeight="false" outlineLevel="0" collapsed="false">
      <c r="A148" s="59" t="n">
        <v>4</v>
      </c>
      <c r="B148" s="59" t="s">
        <v>24</v>
      </c>
      <c r="C148" s="59" t="s">
        <v>139</v>
      </c>
      <c r="D148" s="59" t="s">
        <v>35</v>
      </c>
      <c r="E148" s="59" t="s">
        <v>82</v>
      </c>
      <c r="F148" s="59" t="n">
        <v>22.655</v>
      </c>
      <c r="G148" s="59" t="n">
        <v>27.687</v>
      </c>
      <c r="H148" s="61" t="b">
        <f aca="false">TRUE()</f>
        <v>1</v>
      </c>
    </row>
    <row r="149" customFormat="false" ht="15.75" hidden="false" customHeight="false" outlineLevel="0" collapsed="false">
      <c r="A149" s="59" t="n">
        <v>4</v>
      </c>
      <c r="B149" s="59" t="s">
        <v>25</v>
      </c>
      <c r="C149" s="59" t="s">
        <v>140</v>
      </c>
      <c r="D149" s="59" t="s">
        <v>35</v>
      </c>
      <c r="E149" s="59" t="s">
        <v>82</v>
      </c>
      <c r="F149" s="59" t="n">
        <v>22.47</v>
      </c>
      <c r="G149" s="59" t="n">
        <v>27.687</v>
      </c>
      <c r="H149" s="61" t="b">
        <f aca="false">TRUE()</f>
        <v>1</v>
      </c>
    </row>
    <row r="150" customFormat="false" ht="15.75" hidden="false" customHeight="false" outlineLevel="0" collapsed="false">
      <c r="A150" s="59" t="n">
        <v>4</v>
      </c>
      <c r="B150" s="59" t="s">
        <v>26</v>
      </c>
      <c r="C150" s="59" t="s">
        <v>141</v>
      </c>
      <c r="D150" s="59" t="s">
        <v>35</v>
      </c>
      <c r="E150" s="59" t="s">
        <v>82</v>
      </c>
      <c r="F150" s="59" t="n">
        <v>23.017</v>
      </c>
      <c r="G150" s="59" t="n">
        <v>27.687</v>
      </c>
      <c r="H150" s="61" t="b">
        <f aca="false">TRUE()</f>
        <v>1</v>
      </c>
    </row>
    <row r="151" customFormat="false" ht="15.75" hidden="false" customHeight="false" outlineLevel="0" collapsed="false">
      <c r="A151" s="59" t="n">
        <v>4</v>
      </c>
      <c r="B151" s="59" t="s">
        <v>27</v>
      </c>
      <c r="C151" s="59" t="s">
        <v>142</v>
      </c>
      <c r="D151" s="59" t="s">
        <v>35</v>
      </c>
      <c r="E151" s="59" t="s">
        <v>82</v>
      </c>
      <c r="F151" s="59" t="n">
        <v>21.754</v>
      </c>
      <c r="G151" s="59" t="n">
        <v>27.687</v>
      </c>
      <c r="H151" s="61" t="b">
        <f aca="false">TRUE()</f>
        <v>1</v>
      </c>
    </row>
    <row r="152" customFormat="false" ht="15.75" hidden="false" customHeight="false" outlineLevel="0" collapsed="false">
      <c r="A152" s="59" t="n">
        <v>4</v>
      </c>
      <c r="B152" s="59" t="s">
        <v>28</v>
      </c>
      <c r="C152" s="59" t="s">
        <v>143</v>
      </c>
      <c r="D152" s="59" t="s">
        <v>35</v>
      </c>
      <c r="E152" s="59" t="s">
        <v>82</v>
      </c>
      <c r="F152" s="59" t="n">
        <v>22.535</v>
      </c>
      <c r="G152" s="59" t="n">
        <v>27.687</v>
      </c>
      <c r="H152" s="61" t="b">
        <f aca="false">TRUE()</f>
        <v>1</v>
      </c>
    </row>
    <row r="153" customFormat="false" ht="15.75" hidden="false" customHeight="false" outlineLevel="0" collapsed="false">
      <c r="A153" s="59" t="n">
        <v>4</v>
      </c>
      <c r="B153" s="59" t="s">
        <v>29</v>
      </c>
      <c r="C153" s="59" t="s">
        <v>144</v>
      </c>
      <c r="D153" s="59" t="s">
        <v>35</v>
      </c>
      <c r="E153" s="59" t="s">
        <v>82</v>
      </c>
      <c r="F153" s="59" t="n">
        <v>22.621</v>
      </c>
      <c r="G153" s="59" t="n">
        <v>27.687</v>
      </c>
      <c r="H153" s="61" t="b">
        <f aca="false">TRUE()</f>
        <v>1</v>
      </c>
    </row>
    <row r="154" customFormat="false" ht="15.75" hidden="false" customHeight="false" outlineLevel="0" collapsed="false">
      <c r="A154" s="59" t="n">
        <v>4</v>
      </c>
      <c r="B154" s="59" t="s">
        <v>30</v>
      </c>
      <c r="C154" s="59" t="s">
        <v>145</v>
      </c>
      <c r="D154" s="59" t="s">
        <v>35</v>
      </c>
      <c r="E154" s="59" t="s">
        <v>82</v>
      </c>
      <c r="F154" s="59" t="n">
        <v>23.228</v>
      </c>
      <c r="G154" s="59" t="n">
        <v>27.687</v>
      </c>
      <c r="H154" s="61" t="b">
        <f aca="false">TRUE()</f>
        <v>1</v>
      </c>
    </row>
    <row r="155" customFormat="false" ht="15.75" hidden="false" customHeight="false" outlineLevel="0" collapsed="false">
      <c r="A155" s="59" t="n">
        <v>4</v>
      </c>
      <c r="B155" s="59" t="s">
        <v>31</v>
      </c>
      <c r="C155" s="59" t="s">
        <v>146</v>
      </c>
      <c r="D155" s="59" t="s">
        <v>35</v>
      </c>
      <c r="E155" s="59" t="s">
        <v>82</v>
      </c>
      <c r="F155" s="59" t="n">
        <v>23.271</v>
      </c>
      <c r="G155" s="59" t="n">
        <v>27.687</v>
      </c>
      <c r="H155" s="61" t="b">
        <f aca="false">TRUE()</f>
        <v>1</v>
      </c>
    </row>
    <row r="156" customFormat="false" ht="15.75" hidden="false" customHeight="false" outlineLevel="0" collapsed="false">
      <c r="A156" s="59" t="n">
        <v>4</v>
      </c>
      <c r="B156" s="59" t="n">
        <v>100</v>
      </c>
      <c r="C156" s="62" t="n">
        <v>1</v>
      </c>
      <c r="D156" s="59" t="s">
        <v>36</v>
      </c>
      <c r="E156" s="59" t="s">
        <v>82</v>
      </c>
      <c r="F156" s="59" t="n">
        <v>30.65</v>
      </c>
      <c r="G156" s="59" t="n">
        <v>27.687</v>
      </c>
      <c r="H156" s="61" t="b">
        <f aca="false">TRUE()</f>
        <v>1</v>
      </c>
    </row>
    <row r="157" customFormat="false" ht="15.75" hidden="false" customHeight="false" outlineLevel="0" collapsed="false">
      <c r="A157" s="59" t="n">
        <v>4</v>
      </c>
      <c r="B157" s="59" t="n">
        <v>10</v>
      </c>
      <c r="C157" s="62" t="n">
        <v>0.1</v>
      </c>
      <c r="D157" s="59" t="s">
        <v>36</v>
      </c>
      <c r="E157" s="59" t="s">
        <v>82</v>
      </c>
      <c r="F157" s="59" t="n">
        <v>33.799</v>
      </c>
      <c r="G157" s="59" t="n">
        <v>27.687</v>
      </c>
      <c r="H157" s="61" t="b">
        <f aca="false">TRUE()</f>
        <v>1</v>
      </c>
    </row>
    <row r="158" customFormat="false" ht="15.75" hidden="false" customHeight="false" outlineLevel="0" collapsed="false">
      <c r="A158" s="59" t="n">
        <v>4</v>
      </c>
      <c r="B158" s="59" t="n">
        <v>1</v>
      </c>
      <c r="C158" s="62" t="n">
        <v>0.01</v>
      </c>
      <c r="D158" s="59" t="s">
        <v>36</v>
      </c>
      <c r="E158" s="59" t="s">
        <v>82</v>
      </c>
      <c r="F158" s="59" t="n">
        <v>36.702</v>
      </c>
      <c r="G158" s="59" t="n">
        <v>27.687</v>
      </c>
      <c r="H158" s="61" t="b">
        <f aca="false">TRUE()</f>
        <v>1</v>
      </c>
    </row>
    <row r="159" customFormat="false" ht="15.75" hidden="false" customHeight="false" outlineLevel="0" collapsed="false">
      <c r="A159" s="59" t="n">
        <v>4</v>
      </c>
      <c r="B159" s="59" t="n">
        <v>0.1</v>
      </c>
      <c r="C159" s="63" t="n">
        <v>0.001</v>
      </c>
      <c r="D159" s="59" t="s">
        <v>36</v>
      </c>
      <c r="E159" s="59" t="s">
        <v>82</v>
      </c>
      <c r="F159" s="59" t="s">
        <v>88</v>
      </c>
      <c r="G159" s="59" t="n">
        <v>27.687</v>
      </c>
      <c r="H159" s="61" t="b">
        <f aca="false">TRUE()</f>
        <v>1</v>
      </c>
    </row>
    <row r="160" customFormat="false" ht="15.75" hidden="false" customHeight="false" outlineLevel="0" collapsed="false">
      <c r="A160" s="59" t="n">
        <v>4</v>
      </c>
      <c r="B160" s="59" t="s">
        <v>3</v>
      </c>
      <c r="C160" s="59" t="s">
        <v>131</v>
      </c>
      <c r="D160" s="59" t="s">
        <v>36</v>
      </c>
      <c r="E160" s="59" t="s">
        <v>82</v>
      </c>
      <c r="F160" s="59" t="n">
        <v>30.779</v>
      </c>
      <c r="G160" s="59" t="n">
        <v>27.687</v>
      </c>
      <c r="H160" s="61" t="b">
        <f aca="false">TRUE()</f>
        <v>1</v>
      </c>
    </row>
    <row r="161" customFormat="false" ht="15.75" hidden="false" customHeight="false" outlineLevel="0" collapsed="false">
      <c r="A161" s="59" t="n">
        <v>4</v>
      </c>
      <c r="B161" s="59" t="s">
        <v>4</v>
      </c>
      <c r="C161" s="59" t="s">
        <v>132</v>
      </c>
      <c r="D161" s="59" t="s">
        <v>36</v>
      </c>
      <c r="E161" s="59" t="s">
        <v>82</v>
      </c>
      <c r="F161" s="59" t="n">
        <v>30.746</v>
      </c>
      <c r="G161" s="59" t="n">
        <v>27.687</v>
      </c>
      <c r="H161" s="61" t="b">
        <f aca="false">TRUE()</f>
        <v>1</v>
      </c>
    </row>
    <row r="162" customFormat="false" ht="15.75" hidden="false" customHeight="false" outlineLevel="0" collapsed="false">
      <c r="A162" s="59" t="n">
        <v>4</v>
      </c>
      <c r="B162" s="59" t="s">
        <v>5</v>
      </c>
      <c r="C162" s="59" t="s">
        <v>133</v>
      </c>
      <c r="D162" s="59" t="s">
        <v>36</v>
      </c>
      <c r="E162" s="59" t="s">
        <v>82</v>
      </c>
      <c r="F162" s="59" t="n">
        <v>31.359</v>
      </c>
      <c r="G162" s="59" t="n">
        <v>27.687</v>
      </c>
      <c r="H162" s="61" t="b">
        <f aca="false">TRUE()</f>
        <v>1</v>
      </c>
    </row>
    <row r="163" customFormat="false" ht="15.75" hidden="false" customHeight="false" outlineLevel="0" collapsed="false">
      <c r="A163" s="59" t="n">
        <v>4</v>
      </c>
      <c r="B163" s="59" t="s">
        <v>6</v>
      </c>
      <c r="C163" s="59" t="s">
        <v>105</v>
      </c>
      <c r="D163" s="59" t="s">
        <v>36</v>
      </c>
      <c r="E163" s="59" t="s">
        <v>82</v>
      </c>
      <c r="F163" s="59" t="n">
        <v>32.103</v>
      </c>
      <c r="G163" s="59" t="n">
        <v>27.687</v>
      </c>
      <c r="H163" s="61" t="b">
        <f aca="false">TRUE()</f>
        <v>1</v>
      </c>
    </row>
    <row r="164" customFormat="false" ht="15.75" hidden="false" customHeight="false" outlineLevel="0" collapsed="false">
      <c r="A164" s="59" t="n">
        <v>4</v>
      </c>
      <c r="B164" s="59" t="s">
        <v>7</v>
      </c>
      <c r="C164" s="59" t="s">
        <v>106</v>
      </c>
      <c r="D164" s="59" t="s">
        <v>36</v>
      </c>
      <c r="E164" s="59" t="s">
        <v>82</v>
      </c>
      <c r="F164" s="59" t="n">
        <v>33.279</v>
      </c>
      <c r="G164" s="59" t="n">
        <v>27.687</v>
      </c>
      <c r="H164" s="61" t="b">
        <f aca="false">TRUE()</f>
        <v>1</v>
      </c>
    </row>
    <row r="165" customFormat="false" ht="15.75" hidden="false" customHeight="false" outlineLevel="0" collapsed="false">
      <c r="A165" s="59" t="n">
        <v>4</v>
      </c>
      <c r="B165" s="59" t="s">
        <v>8</v>
      </c>
      <c r="C165" s="59" t="s">
        <v>134</v>
      </c>
      <c r="D165" s="59" t="s">
        <v>36</v>
      </c>
      <c r="E165" s="59" t="s">
        <v>82</v>
      </c>
      <c r="F165" s="59" t="n">
        <v>31.185</v>
      </c>
      <c r="G165" s="59" t="n">
        <v>27.687</v>
      </c>
      <c r="H165" s="61" t="b">
        <f aca="false">TRUE()</f>
        <v>1</v>
      </c>
    </row>
    <row r="166" customFormat="false" ht="15.75" hidden="false" customHeight="false" outlineLevel="0" collapsed="false">
      <c r="A166" s="59" t="n">
        <v>4</v>
      </c>
      <c r="B166" s="59" t="s">
        <v>9</v>
      </c>
      <c r="C166" s="59" t="s">
        <v>135</v>
      </c>
      <c r="D166" s="59" t="s">
        <v>36</v>
      </c>
      <c r="E166" s="59" t="s">
        <v>82</v>
      </c>
      <c r="F166" s="59" t="n">
        <v>31.187</v>
      </c>
      <c r="G166" s="59" t="n">
        <v>27.687</v>
      </c>
      <c r="H166" s="61" t="b">
        <f aca="false">TRUE()</f>
        <v>1</v>
      </c>
    </row>
    <row r="167" customFormat="false" ht="15.75" hidden="false" customHeight="false" outlineLevel="0" collapsed="false">
      <c r="A167" s="59" t="n">
        <v>4</v>
      </c>
      <c r="B167" s="59" t="s">
        <v>10</v>
      </c>
      <c r="C167" s="59" t="s">
        <v>136</v>
      </c>
      <c r="D167" s="59" t="s">
        <v>36</v>
      </c>
      <c r="E167" s="59" t="s">
        <v>82</v>
      </c>
      <c r="F167" s="59" t="n">
        <v>31.809</v>
      </c>
      <c r="G167" s="59" t="n">
        <v>27.687</v>
      </c>
      <c r="H167" s="61" t="b">
        <f aca="false">TRUE()</f>
        <v>1</v>
      </c>
    </row>
    <row r="168" customFormat="false" ht="15.75" hidden="false" customHeight="false" outlineLevel="0" collapsed="false">
      <c r="A168" s="59" t="n">
        <v>4</v>
      </c>
      <c r="B168" s="59" t="s">
        <v>11</v>
      </c>
      <c r="C168" s="59" t="s">
        <v>137</v>
      </c>
      <c r="D168" s="59" t="s">
        <v>36</v>
      </c>
      <c r="E168" s="59" t="s">
        <v>82</v>
      </c>
      <c r="F168" s="59" t="n">
        <v>31.469</v>
      </c>
      <c r="G168" s="59" t="n">
        <v>27.687</v>
      </c>
      <c r="H168" s="61" t="b">
        <f aca="false">TRUE()</f>
        <v>1</v>
      </c>
    </row>
    <row r="169" customFormat="false" ht="15.75" hidden="false" customHeight="false" outlineLevel="0" collapsed="false">
      <c r="A169" s="59" t="n">
        <v>4</v>
      </c>
      <c r="B169" s="59" t="s">
        <v>23</v>
      </c>
      <c r="C169" s="59" t="s">
        <v>138</v>
      </c>
      <c r="D169" s="59" t="s">
        <v>36</v>
      </c>
      <c r="E169" s="59" t="s">
        <v>82</v>
      </c>
      <c r="F169" s="59" t="n">
        <v>31.498</v>
      </c>
      <c r="G169" s="59" t="n">
        <v>27.687</v>
      </c>
      <c r="H169" s="61" t="b">
        <f aca="false">TRUE()</f>
        <v>1</v>
      </c>
    </row>
    <row r="170" customFormat="false" ht="15.75" hidden="false" customHeight="false" outlineLevel="0" collapsed="false">
      <c r="A170" s="59" t="n">
        <v>4</v>
      </c>
      <c r="B170" s="59" t="s">
        <v>24</v>
      </c>
      <c r="C170" s="59" t="s">
        <v>139</v>
      </c>
      <c r="D170" s="59" t="s">
        <v>36</v>
      </c>
      <c r="E170" s="59" t="s">
        <v>82</v>
      </c>
      <c r="F170" s="59" t="n">
        <v>31.662</v>
      </c>
      <c r="G170" s="59" t="n">
        <v>27.687</v>
      </c>
      <c r="H170" s="61" t="b">
        <f aca="false">TRUE()</f>
        <v>1</v>
      </c>
    </row>
    <row r="171" customFormat="false" ht="15.75" hidden="false" customHeight="false" outlineLevel="0" collapsed="false">
      <c r="A171" s="59" t="n">
        <v>4</v>
      </c>
      <c r="B171" s="59" t="s">
        <v>25</v>
      </c>
      <c r="C171" s="59" t="s">
        <v>140</v>
      </c>
      <c r="D171" s="59" t="s">
        <v>36</v>
      </c>
      <c r="E171" s="59" t="s">
        <v>82</v>
      </c>
      <c r="F171" s="59" t="n">
        <v>31.102</v>
      </c>
      <c r="G171" s="59" t="n">
        <v>27.687</v>
      </c>
      <c r="H171" s="61" t="b">
        <f aca="false">TRUE()</f>
        <v>1</v>
      </c>
    </row>
    <row r="172" customFormat="false" ht="15.75" hidden="false" customHeight="false" outlineLevel="0" collapsed="false">
      <c r="A172" s="59" t="n">
        <v>4</v>
      </c>
      <c r="B172" s="59" t="s">
        <v>26</v>
      </c>
      <c r="C172" s="59" t="s">
        <v>141</v>
      </c>
      <c r="D172" s="59" t="s">
        <v>36</v>
      </c>
      <c r="E172" s="59" t="s">
        <v>82</v>
      </c>
      <c r="F172" s="59" t="n">
        <v>31.785</v>
      </c>
      <c r="G172" s="59" t="n">
        <v>27.687</v>
      </c>
      <c r="H172" s="61" t="b">
        <f aca="false">TRUE()</f>
        <v>1</v>
      </c>
    </row>
    <row r="173" customFormat="false" ht="15.75" hidden="false" customHeight="false" outlineLevel="0" collapsed="false">
      <c r="A173" s="59" t="n">
        <v>4</v>
      </c>
      <c r="B173" s="59" t="s">
        <v>27</v>
      </c>
      <c r="C173" s="59" t="s">
        <v>142</v>
      </c>
      <c r="D173" s="59" t="s">
        <v>36</v>
      </c>
      <c r="E173" s="59" t="s">
        <v>82</v>
      </c>
      <c r="F173" s="59" t="n">
        <v>30.372</v>
      </c>
      <c r="G173" s="59" t="n">
        <v>27.687</v>
      </c>
      <c r="H173" s="61" t="b">
        <f aca="false">TRUE()</f>
        <v>1</v>
      </c>
    </row>
    <row r="174" customFormat="false" ht="15.75" hidden="false" customHeight="false" outlineLevel="0" collapsed="false">
      <c r="A174" s="59" t="n">
        <v>4</v>
      </c>
      <c r="B174" s="59" t="s">
        <v>28</v>
      </c>
      <c r="C174" s="59" t="s">
        <v>143</v>
      </c>
      <c r="D174" s="59" t="s">
        <v>36</v>
      </c>
      <c r="E174" s="59" t="s">
        <v>82</v>
      </c>
      <c r="F174" s="59" t="n">
        <v>31.289</v>
      </c>
      <c r="G174" s="59" t="n">
        <v>27.687</v>
      </c>
      <c r="H174" s="61" t="b">
        <f aca="false">TRUE()</f>
        <v>1</v>
      </c>
    </row>
    <row r="175" customFormat="false" ht="15.75" hidden="false" customHeight="false" outlineLevel="0" collapsed="false">
      <c r="A175" s="59" t="n">
        <v>4</v>
      </c>
      <c r="B175" s="59" t="s">
        <v>29</v>
      </c>
      <c r="C175" s="59" t="s">
        <v>144</v>
      </c>
      <c r="D175" s="59" t="s">
        <v>36</v>
      </c>
      <c r="E175" s="59" t="s">
        <v>82</v>
      </c>
      <c r="F175" s="59" t="n">
        <v>33.594</v>
      </c>
      <c r="G175" s="59" t="n">
        <v>27.687</v>
      </c>
      <c r="H175" s="61" t="b">
        <f aca="false">TRUE()</f>
        <v>1</v>
      </c>
    </row>
    <row r="176" customFormat="false" ht="15.75" hidden="false" customHeight="false" outlineLevel="0" collapsed="false">
      <c r="A176" s="59" t="n">
        <v>4</v>
      </c>
      <c r="B176" s="59" t="s">
        <v>30</v>
      </c>
      <c r="C176" s="59" t="s">
        <v>145</v>
      </c>
      <c r="D176" s="59" t="s">
        <v>36</v>
      </c>
      <c r="E176" s="59" t="s">
        <v>82</v>
      </c>
      <c r="F176" s="59" t="n">
        <v>31.86</v>
      </c>
      <c r="G176" s="59" t="n">
        <v>27.687</v>
      </c>
      <c r="H176" s="61" t="b">
        <f aca="false">TRUE()</f>
        <v>1</v>
      </c>
    </row>
    <row r="177" customFormat="false" ht="15.75" hidden="false" customHeight="false" outlineLevel="0" collapsed="false">
      <c r="A177" s="59" t="n">
        <v>4</v>
      </c>
      <c r="B177" s="59" t="s">
        <v>31</v>
      </c>
      <c r="C177" s="59" t="s">
        <v>146</v>
      </c>
      <c r="D177" s="59" t="s">
        <v>36</v>
      </c>
      <c r="E177" s="59" t="s">
        <v>82</v>
      </c>
      <c r="F177" s="59" t="n">
        <v>32.264</v>
      </c>
      <c r="G177" s="59" t="n">
        <v>27.687</v>
      </c>
      <c r="H177" s="61" t="b">
        <f aca="false">TRUE()</f>
        <v>1</v>
      </c>
    </row>
    <row r="178" customFormat="false" ht="15.75" hidden="false" customHeight="false" outlineLevel="0" collapsed="false">
      <c r="A178" s="59" t="n">
        <v>5</v>
      </c>
      <c r="B178" s="59" t="n">
        <v>100</v>
      </c>
      <c r="C178" s="62" t="n">
        <v>1</v>
      </c>
      <c r="D178" s="59" t="s">
        <v>39</v>
      </c>
      <c r="E178" s="59" t="n">
        <v>18.982</v>
      </c>
      <c r="F178" s="59" t="n">
        <v>23.954</v>
      </c>
      <c r="G178" s="59" t="n">
        <v>3.969</v>
      </c>
      <c r="H178" s="59" t="n">
        <v>0.31</v>
      </c>
    </row>
    <row r="179" customFormat="false" ht="15.75" hidden="false" customHeight="false" outlineLevel="0" collapsed="false">
      <c r="A179" s="59" t="n">
        <v>5</v>
      </c>
      <c r="B179" s="59" t="n">
        <v>10</v>
      </c>
      <c r="C179" s="62" t="n">
        <v>0.1</v>
      </c>
      <c r="D179" s="59" t="s">
        <v>39</v>
      </c>
      <c r="E179" s="59" t="n">
        <v>22.236</v>
      </c>
      <c r="F179" s="59" t="n">
        <v>23.954</v>
      </c>
      <c r="G179" s="59" t="n">
        <v>3.969</v>
      </c>
      <c r="H179" s="59" t="n">
        <v>0.31</v>
      </c>
    </row>
    <row r="180" customFormat="false" ht="15.75" hidden="false" customHeight="false" outlineLevel="0" collapsed="false">
      <c r="A180" s="59" t="n">
        <v>5</v>
      </c>
      <c r="B180" s="59" t="n">
        <v>1</v>
      </c>
      <c r="C180" s="62" t="n">
        <v>0.01</v>
      </c>
      <c r="D180" s="59" t="s">
        <v>39</v>
      </c>
      <c r="E180" s="59" t="n">
        <v>25.674</v>
      </c>
      <c r="F180" s="59" t="n">
        <v>23.954</v>
      </c>
      <c r="G180" s="59" t="n">
        <v>3.969</v>
      </c>
      <c r="H180" s="59" t="n">
        <v>0.31</v>
      </c>
    </row>
    <row r="181" customFormat="false" ht="15.75" hidden="false" customHeight="false" outlineLevel="0" collapsed="false">
      <c r="A181" s="59" t="n">
        <v>5</v>
      </c>
      <c r="B181" s="59" t="n">
        <v>0.1</v>
      </c>
      <c r="C181" s="63" t="n">
        <v>0.001</v>
      </c>
      <c r="D181" s="59" t="s">
        <v>39</v>
      </c>
      <c r="E181" s="59" t="n">
        <v>28.841</v>
      </c>
      <c r="F181" s="59" t="n">
        <v>23.954</v>
      </c>
      <c r="G181" s="59" t="n">
        <v>3.969</v>
      </c>
      <c r="H181" s="59" t="n">
        <v>0.31</v>
      </c>
    </row>
    <row r="182" customFormat="false" ht="15.75" hidden="false" customHeight="false" outlineLevel="0" collapsed="false">
      <c r="A182" s="59" t="n">
        <v>5</v>
      </c>
      <c r="B182" s="59" t="s">
        <v>3</v>
      </c>
      <c r="C182" s="59" t="s">
        <v>131</v>
      </c>
      <c r="D182" s="59" t="s">
        <v>39</v>
      </c>
      <c r="E182" s="59" t="n">
        <v>19.567</v>
      </c>
      <c r="F182" s="59" t="n">
        <v>23.954</v>
      </c>
      <c r="G182" s="59" t="n">
        <v>3.969</v>
      </c>
      <c r="H182" s="59" t="n">
        <v>0.31</v>
      </c>
    </row>
    <row r="183" customFormat="false" ht="15.75" hidden="false" customHeight="false" outlineLevel="0" collapsed="false">
      <c r="A183" s="59" t="n">
        <v>5</v>
      </c>
      <c r="B183" s="59" t="s">
        <v>4</v>
      </c>
      <c r="C183" s="59" t="s">
        <v>132</v>
      </c>
      <c r="D183" s="59" t="s">
        <v>39</v>
      </c>
      <c r="E183" s="59" t="n">
        <v>20.192</v>
      </c>
      <c r="F183" s="59" t="n">
        <v>23.954</v>
      </c>
      <c r="G183" s="59" t="n">
        <v>3.969</v>
      </c>
      <c r="H183" s="59" t="n">
        <v>0.31</v>
      </c>
    </row>
    <row r="184" customFormat="false" ht="15.75" hidden="false" customHeight="false" outlineLevel="0" collapsed="false">
      <c r="A184" s="59" t="n">
        <v>5</v>
      </c>
      <c r="B184" s="59" t="s">
        <v>5</v>
      </c>
      <c r="C184" s="59" t="s">
        <v>133</v>
      </c>
      <c r="D184" s="59" t="s">
        <v>39</v>
      </c>
      <c r="E184" s="59" t="n">
        <v>19.47</v>
      </c>
      <c r="F184" s="59" t="n">
        <v>23.954</v>
      </c>
      <c r="G184" s="59" t="n">
        <v>3.969</v>
      </c>
      <c r="H184" s="59" t="n">
        <v>0.31</v>
      </c>
    </row>
    <row r="185" customFormat="false" ht="15.75" hidden="false" customHeight="false" outlineLevel="0" collapsed="false">
      <c r="A185" s="59" t="n">
        <v>5</v>
      </c>
      <c r="B185" s="59" t="s">
        <v>6</v>
      </c>
      <c r="C185" s="59" t="s">
        <v>105</v>
      </c>
      <c r="D185" s="59" t="s">
        <v>39</v>
      </c>
      <c r="E185" s="59" t="n">
        <v>20.363</v>
      </c>
      <c r="F185" s="59" t="n">
        <v>23.954</v>
      </c>
      <c r="G185" s="59" t="n">
        <v>3.969</v>
      </c>
      <c r="H185" s="59" t="n">
        <v>0.31</v>
      </c>
    </row>
    <row r="186" customFormat="false" ht="15.75" hidden="false" customHeight="false" outlineLevel="0" collapsed="false">
      <c r="A186" s="59" t="n">
        <v>5</v>
      </c>
      <c r="B186" s="59" t="s">
        <v>7</v>
      </c>
      <c r="C186" s="59" t="s">
        <v>106</v>
      </c>
      <c r="D186" s="59" t="s">
        <v>39</v>
      </c>
      <c r="E186" s="59" t="n">
        <v>20.287</v>
      </c>
      <c r="F186" s="59" t="n">
        <v>23.954</v>
      </c>
      <c r="G186" s="59" t="n">
        <v>3.969</v>
      </c>
      <c r="H186" s="59" t="n">
        <v>0.31</v>
      </c>
    </row>
    <row r="187" customFormat="false" ht="15.75" hidden="false" customHeight="false" outlineLevel="0" collapsed="false">
      <c r="A187" s="59" t="n">
        <v>5</v>
      </c>
      <c r="B187" s="59" t="s">
        <v>8</v>
      </c>
      <c r="C187" s="59" t="s">
        <v>134</v>
      </c>
      <c r="D187" s="59" t="s">
        <v>39</v>
      </c>
      <c r="E187" s="59" t="n">
        <v>19.306</v>
      </c>
      <c r="F187" s="59" t="n">
        <v>23.954</v>
      </c>
      <c r="G187" s="59" t="n">
        <v>3.969</v>
      </c>
      <c r="H187" s="59" t="n">
        <v>0.31</v>
      </c>
    </row>
    <row r="188" customFormat="false" ht="15.75" hidden="false" customHeight="false" outlineLevel="0" collapsed="false">
      <c r="A188" s="59" t="n">
        <v>5</v>
      </c>
      <c r="B188" s="59" t="s">
        <v>9</v>
      </c>
      <c r="C188" s="59" t="s">
        <v>135</v>
      </c>
      <c r="D188" s="59" t="s">
        <v>39</v>
      </c>
      <c r="E188" s="59" t="n">
        <v>19.689</v>
      </c>
      <c r="F188" s="59" t="n">
        <v>23.954</v>
      </c>
      <c r="G188" s="59" t="n">
        <v>3.969</v>
      </c>
      <c r="H188" s="59" t="n">
        <v>0.31</v>
      </c>
    </row>
    <row r="189" customFormat="false" ht="15.75" hidden="false" customHeight="false" outlineLevel="0" collapsed="false">
      <c r="A189" s="59" t="n">
        <v>5</v>
      </c>
      <c r="B189" s="59" t="s">
        <v>10</v>
      </c>
      <c r="C189" s="59" t="s">
        <v>136</v>
      </c>
      <c r="D189" s="59" t="s">
        <v>39</v>
      </c>
      <c r="E189" s="59" t="n">
        <v>20.081</v>
      </c>
      <c r="F189" s="59" t="n">
        <v>23.954</v>
      </c>
      <c r="G189" s="59" t="n">
        <v>3.969</v>
      </c>
      <c r="H189" s="59" t="n">
        <v>0.31</v>
      </c>
    </row>
    <row r="190" customFormat="false" ht="15.75" hidden="false" customHeight="false" outlineLevel="0" collapsed="false">
      <c r="A190" s="59" t="n">
        <v>5</v>
      </c>
      <c r="B190" s="59" t="s">
        <v>11</v>
      </c>
      <c r="C190" s="59" t="s">
        <v>137</v>
      </c>
      <c r="D190" s="59" t="s">
        <v>39</v>
      </c>
      <c r="E190" s="59" t="n">
        <v>19.758</v>
      </c>
      <c r="F190" s="59" t="n">
        <v>23.954</v>
      </c>
      <c r="G190" s="59" t="n">
        <v>3.969</v>
      </c>
      <c r="H190" s="59" t="n">
        <v>0.31</v>
      </c>
    </row>
    <row r="191" customFormat="false" ht="15.75" hidden="false" customHeight="false" outlineLevel="0" collapsed="false">
      <c r="A191" s="59" t="n">
        <v>5</v>
      </c>
      <c r="B191" s="59" t="s">
        <v>23</v>
      </c>
      <c r="C191" s="59" t="s">
        <v>138</v>
      </c>
      <c r="D191" s="59" t="s">
        <v>39</v>
      </c>
      <c r="E191" s="59" t="n">
        <v>20.131</v>
      </c>
      <c r="F191" s="59" t="n">
        <v>23.954</v>
      </c>
      <c r="G191" s="59" t="n">
        <v>3.969</v>
      </c>
      <c r="H191" s="59" t="n">
        <v>0.31</v>
      </c>
    </row>
    <row r="192" customFormat="false" ht="15.75" hidden="false" customHeight="false" outlineLevel="0" collapsed="false">
      <c r="A192" s="59" t="n">
        <v>5</v>
      </c>
      <c r="B192" s="59" t="s">
        <v>24</v>
      </c>
      <c r="C192" s="59" t="s">
        <v>139</v>
      </c>
      <c r="D192" s="59" t="s">
        <v>39</v>
      </c>
      <c r="E192" s="59" t="n">
        <v>20.695</v>
      </c>
      <c r="F192" s="59" t="n">
        <v>23.954</v>
      </c>
      <c r="G192" s="59" t="n">
        <v>3.969</v>
      </c>
      <c r="H192" s="59" t="n">
        <v>0.31</v>
      </c>
    </row>
    <row r="193" customFormat="false" ht="15.75" hidden="false" customHeight="false" outlineLevel="0" collapsed="false">
      <c r="A193" s="59" t="n">
        <v>5</v>
      </c>
      <c r="B193" s="59" t="s">
        <v>25</v>
      </c>
      <c r="C193" s="59" t="s">
        <v>140</v>
      </c>
      <c r="D193" s="59" t="s">
        <v>39</v>
      </c>
      <c r="E193" s="59" t="n">
        <v>20.785</v>
      </c>
      <c r="F193" s="59" t="n">
        <v>23.954</v>
      </c>
      <c r="G193" s="59" t="n">
        <v>3.969</v>
      </c>
      <c r="H193" s="59" t="n">
        <v>0.31</v>
      </c>
    </row>
    <row r="194" customFormat="false" ht="15.75" hidden="false" customHeight="false" outlineLevel="0" collapsed="false">
      <c r="A194" s="59" t="n">
        <v>5</v>
      </c>
      <c r="B194" s="59" t="s">
        <v>26</v>
      </c>
      <c r="C194" s="59" t="s">
        <v>141</v>
      </c>
      <c r="D194" s="59" t="s">
        <v>39</v>
      </c>
      <c r="E194" s="59" t="n">
        <v>20.016</v>
      </c>
      <c r="F194" s="59" t="n">
        <v>23.954</v>
      </c>
      <c r="G194" s="59" t="n">
        <v>3.969</v>
      </c>
      <c r="H194" s="59" t="n">
        <v>0.31</v>
      </c>
    </row>
    <row r="195" customFormat="false" ht="15.75" hidden="false" customHeight="false" outlineLevel="0" collapsed="false">
      <c r="A195" s="59" t="n">
        <v>5</v>
      </c>
      <c r="B195" s="59" t="s">
        <v>27</v>
      </c>
      <c r="C195" s="59" t="s">
        <v>142</v>
      </c>
      <c r="D195" s="59" t="s">
        <v>39</v>
      </c>
      <c r="E195" s="59" t="n">
        <v>19.222</v>
      </c>
      <c r="F195" s="59" t="n">
        <v>23.954</v>
      </c>
      <c r="G195" s="59" t="n">
        <v>3.969</v>
      </c>
      <c r="H195" s="59" t="n">
        <v>0.31</v>
      </c>
    </row>
    <row r="196" customFormat="false" ht="15.75" hidden="false" customHeight="false" outlineLevel="0" collapsed="false">
      <c r="A196" s="59" t="n">
        <v>5</v>
      </c>
      <c r="B196" s="59" t="s">
        <v>28</v>
      </c>
      <c r="C196" s="59" t="s">
        <v>143</v>
      </c>
      <c r="D196" s="59" t="s">
        <v>39</v>
      </c>
      <c r="E196" s="59" t="n">
        <v>20.385</v>
      </c>
      <c r="F196" s="59" t="n">
        <v>23.954</v>
      </c>
      <c r="G196" s="59" t="n">
        <v>3.969</v>
      </c>
      <c r="H196" s="59" t="n">
        <v>0.31</v>
      </c>
    </row>
    <row r="197" customFormat="false" ht="15.75" hidden="false" customHeight="false" outlineLevel="0" collapsed="false">
      <c r="A197" s="59" t="n">
        <v>5</v>
      </c>
      <c r="B197" s="59" t="s">
        <v>29</v>
      </c>
      <c r="C197" s="59" t="s">
        <v>144</v>
      </c>
      <c r="D197" s="59" t="s">
        <v>39</v>
      </c>
      <c r="E197" s="59" t="n">
        <v>19.538</v>
      </c>
      <c r="F197" s="59" t="n">
        <v>23.954</v>
      </c>
      <c r="G197" s="59" t="n">
        <v>3.969</v>
      </c>
      <c r="H197" s="59" t="n">
        <v>0.31</v>
      </c>
    </row>
    <row r="198" customFormat="false" ht="15.75" hidden="false" customHeight="false" outlineLevel="0" collapsed="false">
      <c r="A198" s="59" t="n">
        <v>5</v>
      </c>
      <c r="B198" s="59" t="s">
        <v>30</v>
      </c>
      <c r="C198" s="59" t="s">
        <v>145</v>
      </c>
      <c r="D198" s="59" t="s">
        <v>39</v>
      </c>
      <c r="E198" s="59" t="n">
        <v>19.911</v>
      </c>
      <c r="F198" s="59" t="n">
        <v>23.954</v>
      </c>
      <c r="G198" s="59" t="n">
        <v>3.969</v>
      </c>
      <c r="H198" s="59" t="n">
        <v>0.31</v>
      </c>
    </row>
    <row r="199" customFormat="false" ht="15.75" hidden="false" customHeight="false" outlineLevel="0" collapsed="false">
      <c r="A199" s="59" t="n">
        <v>5</v>
      </c>
      <c r="B199" s="59" t="s">
        <v>31</v>
      </c>
      <c r="C199" s="59" t="s">
        <v>146</v>
      </c>
      <c r="D199" s="59" t="s">
        <v>39</v>
      </c>
      <c r="E199" s="59" t="n">
        <v>20.931</v>
      </c>
      <c r="F199" s="59" t="n">
        <v>23.954</v>
      </c>
      <c r="G199" s="59" t="n">
        <v>3.969</v>
      </c>
      <c r="H199" s="59" t="n">
        <v>0.31</v>
      </c>
    </row>
    <row r="200" customFormat="false" ht="15.75" hidden="false" customHeight="false" outlineLevel="0" collapsed="false">
      <c r="A200" s="59" t="n">
        <v>5</v>
      </c>
      <c r="B200" s="59" t="n">
        <v>100</v>
      </c>
      <c r="C200" s="62" t="n">
        <v>1</v>
      </c>
      <c r="D200" s="59" t="s">
        <v>40</v>
      </c>
      <c r="E200" s="59" t="n">
        <v>26.243</v>
      </c>
      <c r="F200" s="59" t="n">
        <v>23.954</v>
      </c>
      <c r="G200" s="59" t="n">
        <v>3.969</v>
      </c>
      <c r="H200" s="59" t="n">
        <v>0.31</v>
      </c>
    </row>
    <row r="201" customFormat="false" ht="15.75" hidden="false" customHeight="false" outlineLevel="0" collapsed="false">
      <c r="A201" s="59" t="n">
        <v>5</v>
      </c>
      <c r="B201" s="59" t="n">
        <v>10</v>
      </c>
      <c r="C201" s="62" t="n">
        <v>0.1</v>
      </c>
      <c r="D201" s="59" t="s">
        <v>40</v>
      </c>
      <c r="E201" s="59" t="n">
        <v>28.18</v>
      </c>
      <c r="F201" s="59" t="n">
        <v>23.954</v>
      </c>
      <c r="G201" s="59" t="n">
        <v>3.969</v>
      </c>
      <c r="H201" s="59" t="n">
        <v>0.31</v>
      </c>
    </row>
    <row r="202" customFormat="false" ht="15.75" hidden="false" customHeight="false" outlineLevel="0" collapsed="false">
      <c r="A202" s="59" t="n">
        <v>5</v>
      </c>
      <c r="B202" s="59" t="n">
        <v>1</v>
      </c>
      <c r="C202" s="62" t="n">
        <v>0.01</v>
      </c>
      <c r="D202" s="59" t="s">
        <v>40</v>
      </c>
      <c r="E202" s="59" t="n">
        <v>31.688</v>
      </c>
      <c r="F202" s="59" t="n">
        <v>23.954</v>
      </c>
      <c r="G202" s="59" t="n">
        <v>3.969</v>
      </c>
      <c r="H202" s="59" t="n">
        <v>0.31</v>
      </c>
    </row>
    <row r="203" customFormat="false" ht="15.75" hidden="false" customHeight="false" outlineLevel="0" collapsed="false">
      <c r="A203" s="59" t="n">
        <v>5</v>
      </c>
      <c r="B203" s="59" t="n">
        <v>0.1</v>
      </c>
      <c r="C203" s="63" t="n">
        <v>0.001</v>
      </c>
      <c r="D203" s="59" t="s">
        <v>40</v>
      </c>
      <c r="E203" s="59" t="n">
        <v>35.582</v>
      </c>
      <c r="F203" s="59" t="n">
        <v>23.954</v>
      </c>
      <c r="G203" s="59" t="n">
        <v>3.969</v>
      </c>
      <c r="H203" s="59" t="n">
        <v>0.31</v>
      </c>
    </row>
    <row r="204" customFormat="false" ht="15.75" hidden="false" customHeight="false" outlineLevel="0" collapsed="false">
      <c r="A204" s="59" t="n">
        <v>5</v>
      </c>
      <c r="B204" s="59" t="s">
        <v>3</v>
      </c>
      <c r="C204" s="59" t="s">
        <v>131</v>
      </c>
      <c r="D204" s="59" t="s">
        <v>40</v>
      </c>
      <c r="E204" s="59" t="n">
        <v>26.548</v>
      </c>
      <c r="F204" s="59" t="n">
        <v>23.954</v>
      </c>
      <c r="G204" s="59" t="n">
        <v>3.969</v>
      </c>
      <c r="H204" s="59" t="n">
        <v>0.31</v>
      </c>
    </row>
    <row r="205" customFormat="false" ht="15.75" hidden="false" customHeight="false" outlineLevel="0" collapsed="false">
      <c r="A205" s="59" t="n">
        <v>5</v>
      </c>
      <c r="B205" s="59" t="s">
        <v>4</v>
      </c>
      <c r="C205" s="59" t="s">
        <v>132</v>
      </c>
      <c r="D205" s="59" t="s">
        <v>40</v>
      </c>
      <c r="E205" s="59" t="n">
        <v>25.731</v>
      </c>
      <c r="F205" s="59" t="n">
        <v>23.954</v>
      </c>
      <c r="G205" s="59" t="n">
        <v>3.969</v>
      </c>
      <c r="H205" s="59" t="n">
        <v>0.31</v>
      </c>
    </row>
    <row r="206" customFormat="false" ht="15.75" hidden="false" customHeight="false" outlineLevel="0" collapsed="false">
      <c r="A206" s="59" t="n">
        <v>5</v>
      </c>
      <c r="B206" s="59" t="s">
        <v>5</v>
      </c>
      <c r="C206" s="59" t="s">
        <v>133</v>
      </c>
      <c r="D206" s="59" t="s">
        <v>40</v>
      </c>
      <c r="E206" s="59" t="n">
        <v>26.35</v>
      </c>
      <c r="F206" s="59" t="n">
        <v>23.954</v>
      </c>
      <c r="G206" s="59" t="n">
        <v>3.969</v>
      </c>
      <c r="H206" s="59" t="n">
        <v>0.31</v>
      </c>
    </row>
    <row r="207" customFormat="false" ht="15.75" hidden="false" customHeight="false" outlineLevel="0" collapsed="false">
      <c r="A207" s="59" t="n">
        <v>5</v>
      </c>
      <c r="B207" s="59" t="s">
        <v>6</v>
      </c>
      <c r="C207" s="59" t="s">
        <v>105</v>
      </c>
      <c r="D207" s="59" t="s">
        <v>40</v>
      </c>
      <c r="E207" s="59" t="n">
        <v>26.992</v>
      </c>
      <c r="F207" s="59" t="n">
        <v>23.954</v>
      </c>
      <c r="G207" s="59" t="n">
        <v>3.969</v>
      </c>
      <c r="H207" s="59" t="n">
        <v>0.31</v>
      </c>
    </row>
    <row r="208" customFormat="false" ht="15.75" hidden="false" customHeight="false" outlineLevel="0" collapsed="false">
      <c r="A208" s="59" t="n">
        <v>5</v>
      </c>
      <c r="B208" s="59" t="s">
        <v>7</v>
      </c>
      <c r="C208" s="59" t="s">
        <v>106</v>
      </c>
      <c r="D208" s="59" t="s">
        <v>40</v>
      </c>
      <c r="E208" s="59" t="n">
        <v>28.454</v>
      </c>
      <c r="F208" s="59" t="n">
        <v>23.954</v>
      </c>
      <c r="G208" s="59" t="n">
        <v>3.969</v>
      </c>
      <c r="H208" s="59" t="n">
        <v>0.31</v>
      </c>
    </row>
    <row r="209" customFormat="false" ht="15.75" hidden="false" customHeight="false" outlineLevel="0" collapsed="false">
      <c r="A209" s="59" t="n">
        <v>5</v>
      </c>
      <c r="B209" s="59" t="s">
        <v>8</v>
      </c>
      <c r="C209" s="59" t="s">
        <v>134</v>
      </c>
      <c r="D209" s="59" t="s">
        <v>40</v>
      </c>
      <c r="E209" s="59" t="n">
        <v>25.956</v>
      </c>
      <c r="F209" s="59" t="n">
        <v>23.954</v>
      </c>
      <c r="G209" s="59" t="n">
        <v>3.969</v>
      </c>
      <c r="H209" s="59" t="n">
        <v>0.31</v>
      </c>
    </row>
    <row r="210" customFormat="false" ht="15.75" hidden="false" customHeight="false" outlineLevel="0" collapsed="false">
      <c r="A210" s="59" t="n">
        <v>5</v>
      </c>
      <c r="B210" s="59" t="s">
        <v>9</v>
      </c>
      <c r="C210" s="59" t="s">
        <v>135</v>
      </c>
      <c r="D210" s="59" t="s">
        <v>40</v>
      </c>
      <c r="E210" s="59" t="n">
        <v>26.24</v>
      </c>
      <c r="F210" s="59" t="n">
        <v>23.954</v>
      </c>
      <c r="G210" s="59" t="n">
        <v>3.969</v>
      </c>
      <c r="H210" s="59" t="n">
        <v>0.31</v>
      </c>
    </row>
    <row r="211" customFormat="false" ht="15.75" hidden="false" customHeight="false" outlineLevel="0" collapsed="false">
      <c r="A211" s="59" t="n">
        <v>5</v>
      </c>
      <c r="B211" s="59" t="s">
        <v>10</v>
      </c>
      <c r="C211" s="59" t="s">
        <v>136</v>
      </c>
      <c r="D211" s="59" t="s">
        <v>40</v>
      </c>
      <c r="E211" s="59" t="n">
        <v>26.442</v>
      </c>
      <c r="F211" s="59" t="n">
        <v>23.954</v>
      </c>
      <c r="G211" s="59" t="n">
        <v>3.969</v>
      </c>
      <c r="H211" s="59" t="n">
        <v>0.31</v>
      </c>
    </row>
    <row r="212" customFormat="false" ht="15.75" hidden="false" customHeight="false" outlineLevel="0" collapsed="false">
      <c r="A212" s="59" t="n">
        <v>5</v>
      </c>
      <c r="B212" s="59" t="s">
        <v>11</v>
      </c>
      <c r="C212" s="59" t="s">
        <v>137</v>
      </c>
      <c r="D212" s="59" t="s">
        <v>40</v>
      </c>
      <c r="E212" s="59" t="n">
        <v>25.826</v>
      </c>
      <c r="F212" s="59" t="n">
        <v>23.954</v>
      </c>
      <c r="G212" s="59" t="n">
        <v>3.969</v>
      </c>
      <c r="H212" s="59" t="n">
        <v>0.31</v>
      </c>
    </row>
    <row r="213" customFormat="false" ht="15.75" hidden="false" customHeight="false" outlineLevel="0" collapsed="false">
      <c r="A213" s="59" t="n">
        <v>5</v>
      </c>
      <c r="B213" s="59" t="s">
        <v>23</v>
      </c>
      <c r="C213" s="59" t="s">
        <v>138</v>
      </c>
      <c r="D213" s="59" t="s">
        <v>40</v>
      </c>
      <c r="E213" s="59" t="n">
        <v>25.989</v>
      </c>
      <c r="F213" s="59" t="n">
        <v>23.954</v>
      </c>
      <c r="G213" s="59" t="n">
        <v>3.969</v>
      </c>
      <c r="H213" s="59" t="n">
        <v>0.31</v>
      </c>
    </row>
    <row r="214" customFormat="false" ht="15.75" hidden="false" customHeight="false" outlineLevel="0" collapsed="false">
      <c r="A214" s="59" t="n">
        <v>5</v>
      </c>
      <c r="B214" s="59" t="s">
        <v>24</v>
      </c>
      <c r="C214" s="59" t="s">
        <v>139</v>
      </c>
      <c r="D214" s="59" t="s">
        <v>40</v>
      </c>
      <c r="E214" s="59" t="n">
        <v>26.196</v>
      </c>
      <c r="F214" s="59" t="n">
        <v>23.954</v>
      </c>
      <c r="G214" s="59" t="n">
        <v>3.969</v>
      </c>
      <c r="H214" s="59" t="n">
        <v>0.31</v>
      </c>
    </row>
    <row r="215" customFormat="false" ht="15.75" hidden="false" customHeight="false" outlineLevel="0" collapsed="false">
      <c r="A215" s="59" t="n">
        <v>5</v>
      </c>
      <c r="B215" s="59" t="s">
        <v>25</v>
      </c>
      <c r="C215" s="59" t="s">
        <v>140</v>
      </c>
      <c r="D215" s="59" t="s">
        <v>40</v>
      </c>
      <c r="E215" s="59" t="n">
        <v>26.121</v>
      </c>
      <c r="F215" s="59" t="n">
        <v>23.954</v>
      </c>
      <c r="G215" s="59" t="n">
        <v>3.969</v>
      </c>
      <c r="H215" s="59" t="n">
        <v>0.31</v>
      </c>
    </row>
    <row r="216" customFormat="false" ht="15.75" hidden="false" customHeight="false" outlineLevel="0" collapsed="false">
      <c r="A216" s="59" t="n">
        <v>5</v>
      </c>
      <c r="B216" s="59" t="s">
        <v>26</v>
      </c>
      <c r="C216" s="59" t="s">
        <v>141</v>
      </c>
      <c r="D216" s="59" t="s">
        <v>40</v>
      </c>
      <c r="E216" s="59" t="n">
        <v>26.515</v>
      </c>
      <c r="F216" s="59" t="n">
        <v>23.954</v>
      </c>
      <c r="G216" s="59" t="n">
        <v>3.969</v>
      </c>
      <c r="H216" s="59" t="n">
        <v>0.31</v>
      </c>
    </row>
    <row r="217" customFormat="false" ht="15.75" hidden="false" customHeight="false" outlineLevel="0" collapsed="false">
      <c r="A217" s="59" t="n">
        <v>5</v>
      </c>
      <c r="B217" s="59" t="s">
        <v>27</v>
      </c>
      <c r="C217" s="59" t="s">
        <v>142</v>
      </c>
      <c r="D217" s="59" t="s">
        <v>40</v>
      </c>
      <c r="E217" s="59" t="n">
        <v>25.853</v>
      </c>
      <c r="F217" s="59" t="n">
        <v>23.954</v>
      </c>
      <c r="G217" s="59" t="n">
        <v>3.969</v>
      </c>
      <c r="H217" s="59" t="n">
        <v>0.31</v>
      </c>
    </row>
    <row r="218" customFormat="false" ht="15.75" hidden="false" customHeight="false" outlineLevel="0" collapsed="false">
      <c r="A218" s="59" t="n">
        <v>5</v>
      </c>
      <c r="B218" s="59" t="s">
        <v>28</v>
      </c>
      <c r="C218" s="59" t="s">
        <v>143</v>
      </c>
      <c r="D218" s="59" t="s">
        <v>40</v>
      </c>
      <c r="E218" s="59" t="n">
        <v>25.517</v>
      </c>
      <c r="F218" s="59" t="n">
        <v>23.954</v>
      </c>
      <c r="G218" s="59" t="n">
        <v>3.969</v>
      </c>
      <c r="H218" s="59" t="n">
        <v>0.31</v>
      </c>
    </row>
    <row r="219" customFormat="false" ht="15.75" hidden="false" customHeight="false" outlineLevel="0" collapsed="false">
      <c r="A219" s="59" t="n">
        <v>5</v>
      </c>
      <c r="B219" s="59" t="s">
        <v>29</v>
      </c>
      <c r="C219" s="59" t="s">
        <v>144</v>
      </c>
      <c r="D219" s="59" t="s">
        <v>40</v>
      </c>
      <c r="E219" s="59" t="n">
        <v>26.894</v>
      </c>
      <c r="F219" s="59" t="n">
        <v>23.954</v>
      </c>
      <c r="G219" s="59" t="n">
        <v>3.969</v>
      </c>
      <c r="H219" s="59" t="n">
        <v>0.31</v>
      </c>
    </row>
    <row r="220" customFormat="false" ht="15.75" hidden="false" customHeight="false" outlineLevel="0" collapsed="false">
      <c r="A220" s="59" t="n">
        <v>5</v>
      </c>
      <c r="B220" s="59" t="s">
        <v>30</v>
      </c>
      <c r="C220" s="59" t="s">
        <v>145</v>
      </c>
      <c r="D220" s="59" t="s">
        <v>40</v>
      </c>
      <c r="E220" s="59" t="n">
        <v>27.024</v>
      </c>
      <c r="F220" s="59" t="n">
        <v>23.954</v>
      </c>
      <c r="G220" s="59" t="n">
        <v>3.969</v>
      </c>
      <c r="H220" s="59" t="n">
        <v>0.31</v>
      </c>
    </row>
    <row r="221" customFormat="false" ht="15.75" hidden="false" customHeight="false" outlineLevel="0" collapsed="false">
      <c r="A221" s="59" t="n">
        <v>5</v>
      </c>
      <c r="B221" s="59" t="s">
        <v>31</v>
      </c>
      <c r="C221" s="59" t="s">
        <v>146</v>
      </c>
      <c r="D221" s="59" t="s">
        <v>40</v>
      </c>
      <c r="E221" s="59" t="n">
        <v>27.556</v>
      </c>
      <c r="F221" s="59" t="n">
        <v>23.954</v>
      </c>
      <c r="G221" s="59" t="n">
        <v>3.969</v>
      </c>
      <c r="H221" s="59" t="n">
        <v>0.31</v>
      </c>
    </row>
    <row r="222" customFormat="false" ht="15.75" hidden="false" customHeight="false" outlineLevel="0" collapsed="false">
      <c r="A222" s="59" t="n">
        <v>6</v>
      </c>
      <c r="B222" s="59" t="n">
        <v>100</v>
      </c>
      <c r="C222" s="62" t="n">
        <v>1</v>
      </c>
      <c r="D222" s="59" t="s">
        <v>41</v>
      </c>
      <c r="E222" s="59" t="n">
        <v>23.27</v>
      </c>
      <c r="F222" s="59" t="n">
        <v>25.098</v>
      </c>
      <c r="G222" s="59" t="n">
        <v>2.267</v>
      </c>
      <c r="H222" s="59" t="n">
        <v>0.078</v>
      </c>
    </row>
    <row r="223" customFormat="false" ht="15.75" hidden="false" customHeight="false" outlineLevel="0" collapsed="false">
      <c r="A223" s="59" t="n">
        <v>6</v>
      </c>
      <c r="B223" s="59" t="n">
        <v>10</v>
      </c>
      <c r="C223" s="62" t="n">
        <v>0.1</v>
      </c>
      <c r="D223" s="59" t="s">
        <v>41</v>
      </c>
      <c r="E223" s="59" t="n">
        <v>26.309</v>
      </c>
      <c r="F223" s="59" t="n">
        <v>25.098</v>
      </c>
      <c r="G223" s="59" t="n">
        <v>2.267</v>
      </c>
      <c r="H223" s="59" t="n">
        <v>0.078</v>
      </c>
    </row>
    <row r="224" customFormat="false" ht="15.75" hidden="false" customHeight="false" outlineLevel="0" collapsed="false">
      <c r="A224" s="59" t="n">
        <v>6</v>
      </c>
      <c r="B224" s="59" t="n">
        <v>1</v>
      </c>
      <c r="C224" s="62" t="n">
        <v>0.01</v>
      </c>
      <c r="D224" s="59" t="s">
        <v>41</v>
      </c>
      <c r="E224" s="59" t="n">
        <v>29.382</v>
      </c>
      <c r="F224" s="59" t="n">
        <v>25.098</v>
      </c>
      <c r="G224" s="59" t="n">
        <v>2.267</v>
      </c>
      <c r="H224" s="59" t="n">
        <v>0.078</v>
      </c>
    </row>
    <row r="225" customFormat="false" ht="15.75" hidden="false" customHeight="false" outlineLevel="0" collapsed="false">
      <c r="A225" s="59" t="n">
        <v>6</v>
      </c>
      <c r="B225" s="59" t="n">
        <v>0.1</v>
      </c>
      <c r="C225" s="63" t="n">
        <v>0.001</v>
      </c>
      <c r="D225" s="59" t="s">
        <v>41</v>
      </c>
      <c r="E225" s="59" t="n">
        <v>34.578</v>
      </c>
      <c r="F225" s="59" t="n">
        <v>25.098</v>
      </c>
      <c r="G225" s="59" t="n">
        <v>2.267</v>
      </c>
      <c r="H225" s="59" t="n">
        <v>0.078</v>
      </c>
    </row>
    <row r="226" customFormat="false" ht="15.75" hidden="false" customHeight="false" outlineLevel="0" collapsed="false">
      <c r="A226" s="59" t="n">
        <v>6</v>
      </c>
      <c r="B226" s="59" t="s">
        <v>3</v>
      </c>
      <c r="C226" s="59" t="s">
        <v>131</v>
      </c>
      <c r="D226" s="59" t="s">
        <v>41</v>
      </c>
      <c r="E226" s="59" t="n">
        <v>24.254</v>
      </c>
      <c r="F226" s="59" t="n">
        <v>25.098</v>
      </c>
      <c r="G226" s="59" t="n">
        <v>2.267</v>
      </c>
      <c r="H226" s="59" t="n">
        <v>0.078</v>
      </c>
    </row>
    <row r="227" customFormat="false" ht="15.75" hidden="false" customHeight="false" outlineLevel="0" collapsed="false">
      <c r="A227" s="59" t="n">
        <v>6</v>
      </c>
      <c r="B227" s="59" t="s">
        <v>4</v>
      </c>
      <c r="C227" s="59" t="s">
        <v>132</v>
      </c>
      <c r="D227" s="59" t="s">
        <v>41</v>
      </c>
      <c r="E227" s="59" t="n">
        <v>23.779</v>
      </c>
      <c r="F227" s="59" t="n">
        <v>25.098</v>
      </c>
      <c r="G227" s="59" t="n">
        <v>2.267</v>
      </c>
      <c r="H227" s="59" t="n">
        <v>0.078</v>
      </c>
    </row>
    <row r="228" customFormat="false" ht="15.75" hidden="false" customHeight="false" outlineLevel="0" collapsed="false">
      <c r="A228" s="59" t="n">
        <v>6</v>
      </c>
      <c r="B228" s="59" t="s">
        <v>5</v>
      </c>
      <c r="C228" s="59" t="s">
        <v>133</v>
      </c>
      <c r="D228" s="59" t="s">
        <v>41</v>
      </c>
      <c r="E228" s="59" t="n">
        <v>24.163</v>
      </c>
      <c r="F228" s="59" t="n">
        <v>25.098</v>
      </c>
      <c r="G228" s="59" t="n">
        <v>2.267</v>
      </c>
      <c r="H228" s="59" t="n">
        <v>0.078</v>
      </c>
    </row>
    <row r="229" customFormat="false" ht="15.75" hidden="false" customHeight="false" outlineLevel="0" collapsed="false">
      <c r="A229" s="59" t="n">
        <v>6</v>
      </c>
      <c r="B229" s="59" t="s">
        <v>6</v>
      </c>
      <c r="C229" s="59" t="s">
        <v>105</v>
      </c>
      <c r="D229" s="59" t="s">
        <v>41</v>
      </c>
      <c r="E229" s="59" t="n">
        <v>24.584</v>
      </c>
      <c r="F229" s="59" t="n">
        <v>25.098</v>
      </c>
      <c r="G229" s="59" t="n">
        <v>2.267</v>
      </c>
      <c r="H229" s="59" t="n">
        <v>0.078</v>
      </c>
    </row>
    <row r="230" customFormat="false" ht="15.75" hidden="false" customHeight="false" outlineLevel="0" collapsed="false">
      <c r="A230" s="59" t="n">
        <v>6</v>
      </c>
      <c r="B230" s="59" t="s">
        <v>7</v>
      </c>
      <c r="C230" s="59" t="s">
        <v>106</v>
      </c>
      <c r="D230" s="59" t="s">
        <v>41</v>
      </c>
      <c r="E230" s="59" t="n">
        <v>25.781</v>
      </c>
      <c r="F230" s="59" t="n">
        <v>25.098</v>
      </c>
      <c r="G230" s="59" t="n">
        <v>2.267</v>
      </c>
      <c r="H230" s="59" t="n">
        <v>0.078</v>
      </c>
    </row>
    <row r="231" customFormat="false" ht="15.75" hidden="false" customHeight="false" outlineLevel="0" collapsed="false">
      <c r="A231" s="59" t="n">
        <v>6</v>
      </c>
      <c r="B231" s="59" t="s">
        <v>8</v>
      </c>
      <c r="C231" s="59" t="s">
        <v>134</v>
      </c>
      <c r="D231" s="59" t="s">
        <v>41</v>
      </c>
      <c r="E231" s="59" t="n">
        <v>23.842</v>
      </c>
      <c r="F231" s="59" t="n">
        <v>25.098</v>
      </c>
      <c r="G231" s="59" t="n">
        <v>2.267</v>
      </c>
      <c r="H231" s="59" t="n">
        <v>0.078</v>
      </c>
    </row>
    <row r="232" customFormat="false" ht="15.75" hidden="false" customHeight="false" outlineLevel="0" collapsed="false">
      <c r="A232" s="59" t="n">
        <v>6</v>
      </c>
      <c r="B232" s="59" t="s">
        <v>9</v>
      </c>
      <c r="C232" s="59" t="s">
        <v>135</v>
      </c>
      <c r="D232" s="59" t="s">
        <v>41</v>
      </c>
      <c r="E232" s="59" t="n">
        <v>24.006</v>
      </c>
      <c r="F232" s="59" t="n">
        <v>25.098</v>
      </c>
      <c r="G232" s="59" t="n">
        <v>2.267</v>
      </c>
      <c r="H232" s="59" t="n">
        <v>0.078</v>
      </c>
    </row>
    <row r="233" customFormat="false" ht="15.75" hidden="false" customHeight="false" outlineLevel="0" collapsed="false">
      <c r="A233" s="59" t="n">
        <v>6</v>
      </c>
      <c r="B233" s="59" t="s">
        <v>10</v>
      </c>
      <c r="C233" s="59" t="s">
        <v>136</v>
      </c>
      <c r="D233" s="59" t="s">
        <v>41</v>
      </c>
      <c r="E233" s="59" t="n">
        <v>24.559</v>
      </c>
      <c r="F233" s="59" t="n">
        <v>25.098</v>
      </c>
      <c r="G233" s="59" t="n">
        <v>2.267</v>
      </c>
      <c r="H233" s="59" t="n">
        <v>0.078</v>
      </c>
    </row>
    <row r="234" customFormat="false" ht="15.75" hidden="false" customHeight="false" outlineLevel="0" collapsed="false">
      <c r="A234" s="59" t="n">
        <v>6</v>
      </c>
      <c r="B234" s="59" t="s">
        <v>11</v>
      </c>
      <c r="C234" s="59" t="s">
        <v>137</v>
      </c>
      <c r="D234" s="59" t="s">
        <v>41</v>
      </c>
      <c r="E234" s="59" t="n">
        <v>24.32</v>
      </c>
      <c r="F234" s="59" t="n">
        <v>25.098</v>
      </c>
      <c r="G234" s="59" t="n">
        <v>2.267</v>
      </c>
      <c r="H234" s="59" t="n">
        <v>0.078</v>
      </c>
    </row>
    <row r="235" customFormat="false" ht="15.75" hidden="false" customHeight="false" outlineLevel="0" collapsed="false">
      <c r="A235" s="59" t="n">
        <v>6</v>
      </c>
      <c r="B235" s="59" t="s">
        <v>23</v>
      </c>
      <c r="C235" s="59" t="s">
        <v>138</v>
      </c>
      <c r="D235" s="59" t="s">
        <v>41</v>
      </c>
      <c r="E235" s="59" t="n">
        <v>24.514</v>
      </c>
      <c r="F235" s="59" t="n">
        <v>25.098</v>
      </c>
      <c r="G235" s="59" t="n">
        <v>2.267</v>
      </c>
      <c r="H235" s="59" t="n">
        <v>0.078</v>
      </c>
    </row>
    <row r="236" customFormat="false" ht="15.75" hidden="false" customHeight="false" outlineLevel="0" collapsed="false">
      <c r="A236" s="59" t="n">
        <v>6</v>
      </c>
      <c r="B236" s="59" t="s">
        <v>24</v>
      </c>
      <c r="C236" s="59" t="s">
        <v>139</v>
      </c>
      <c r="D236" s="59" t="s">
        <v>41</v>
      </c>
      <c r="E236" s="59" t="n">
        <v>24.472</v>
      </c>
      <c r="F236" s="59" t="n">
        <v>25.098</v>
      </c>
      <c r="G236" s="59" t="n">
        <v>2.267</v>
      </c>
      <c r="H236" s="59" t="n">
        <v>0.078</v>
      </c>
    </row>
    <row r="237" customFormat="false" ht="15.75" hidden="false" customHeight="false" outlineLevel="0" collapsed="false">
      <c r="A237" s="59" t="n">
        <v>6</v>
      </c>
      <c r="B237" s="59" t="s">
        <v>25</v>
      </c>
      <c r="C237" s="59" t="s">
        <v>140</v>
      </c>
      <c r="D237" s="59" t="s">
        <v>41</v>
      </c>
      <c r="E237" s="59" t="n">
        <v>24.211</v>
      </c>
      <c r="F237" s="59" t="n">
        <v>25.098</v>
      </c>
      <c r="G237" s="59" t="n">
        <v>2.267</v>
      </c>
      <c r="H237" s="59" t="n">
        <v>0.078</v>
      </c>
    </row>
    <row r="238" customFormat="false" ht="15.75" hidden="false" customHeight="false" outlineLevel="0" collapsed="false">
      <c r="A238" s="59" t="n">
        <v>6</v>
      </c>
      <c r="B238" s="59" t="s">
        <v>26</v>
      </c>
      <c r="C238" s="59" t="s">
        <v>141</v>
      </c>
      <c r="D238" s="59" t="s">
        <v>41</v>
      </c>
      <c r="E238" s="59" t="n">
        <v>24.449</v>
      </c>
      <c r="F238" s="59" t="n">
        <v>25.098</v>
      </c>
      <c r="G238" s="59" t="n">
        <v>2.267</v>
      </c>
      <c r="H238" s="59" t="n">
        <v>0.078</v>
      </c>
    </row>
    <row r="239" customFormat="false" ht="15.75" hidden="false" customHeight="false" outlineLevel="0" collapsed="false">
      <c r="A239" s="59" t="n">
        <v>6</v>
      </c>
      <c r="B239" s="59" t="s">
        <v>27</v>
      </c>
      <c r="C239" s="59" t="s">
        <v>142</v>
      </c>
      <c r="D239" s="59" t="s">
        <v>41</v>
      </c>
      <c r="E239" s="59" t="n">
        <v>23.467</v>
      </c>
      <c r="F239" s="59" t="n">
        <v>25.098</v>
      </c>
      <c r="G239" s="59" t="n">
        <v>2.267</v>
      </c>
      <c r="H239" s="59" t="n">
        <v>0.078</v>
      </c>
    </row>
    <row r="240" customFormat="false" ht="15.75" hidden="false" customHeight="false" outlineLevel="0" collapsed="false">
      <c r="A240" s="59" t="n">
        <v>6</v>
      </c>
      <c r="B240" s="59" t="s">
        <v>28</v>
      </c>
      <c r="C240" s="59" t="s">
        <v>143</v>
      </c>
      <c r="D240" s="59" t="s">
        <v>41</v>
      </c>
      <c r="E240" s="59" t="n">
        <v>24.052</v>
      </c>
      <c r="F240" s="59" t="n">
        <v>25.098</v>
      </c>
      <c r="G240" s="59" t="n">
        <v>2.267</v>
      </c>
      <c r="H240" s="59" t="n">
        <v>0.078</v>
      </c>
    </row>
    <row r="241" customFormat="false" ht="15.75" hidden="false" customHeight="false" outlineLevel="0" collapsed="false">
      <c r="A241" s="59" t="n">
        <v>6</v>
      </c>
      <c r="B241" s="59" t="s">
        <v>29</v>
      </c>
      <c r="C241" s="59" t="s">
        <v>144</v>
      </c>
      <c r="D241" s="59" t="s">
        <v>41</v>
      </c>
      <c r="E241" s="59" t="n">
        <v>24.156</v>
      </c>
      <c r="F241" s="59" t="n">
        <v>25.098</v>
      </c>
      <c r="G241" s="59" t="n">
        <v>2.267</v>
      </c>
      <c r="H241" s="59" t="n">
        <v>0.078</v>
      </c>
    </row>
    <row r="242" customFormat="false" ht="15.75" hidden="false" customHeight="false" outlineLevel="0" collapsed="false">
      <c r="A242" s="59" t="n">
        <v>6</v>
      </c>
      <c r="B242" s="59" t="s">
        <v>30</v>
      </c>
      <c r="C242" s="59" t="s">
        <v>145</v>
      </c>
      <c r="D242" s="59" t="s">
        <v>41</v>
      </c>
      <c r="E242" s="59" t="n">
        <v>25.363</v>
      </c>
      <c r="F242" s="59" t="n">
        <v>25.098</v>
      </c>
      <c r="G242" s="59" t="n">
        <v>2.267</v>
      </c>
      <c r="H242" s="59" t="n">
        <v>0.078</v>
      </c>
    </row>
    <row r="243" customFormat="false" ht="15.75" hidden="false" customHeight="false" outlineLevel="0" collapsed="false">
      <c r="A243" s="59" t="n">
        <v>6</v>
      </c>
      <c r="B243" s="59" t="s">
        <v>31</v>
      </c>
      <c r="C243" s="59" t="s">
        <v>146</v>
      </c>
      <c r="D243" s="59" t="s">
        <v>41</v>
      </c>
      <c r="E243" s="59" t="n">
        <v>25.123</v>
      </c>
      <c r="F243" s="59" t="n">
        <v>25.098</v>
      </c>
      <c r="G243" s="59" t="n">
        <v>2.267</v>
      </c>
      <c r="H243" s="59" t="n">
        <v>0.078</v>
      </c>
    </row>
    <row r="244" customFormat="false" ht="15.75" hidden="false" customHeight="false" outlineLevel="0" collapsed="false">
      <c r="A244" s="59" t="n">
        <v>6</v>
      </c>
      <c r="B244" s="59" t="n">
        <v>100</v>
      </c>
      <c r="C244" s="62" t="n">
        <v>1</v>
      </c>
      <c r="D244" s="59" t="s">
        <v>42</v>
      </c>
      <c r="E244" s="59" t="n">
        <v>24.783</v>
      </c>
      <c r="F244" s="59" t="n">
        <v>25.098</v>
      </c>
      <c r="G244" s="59" t="n">
        <v>2.267</v>
      </c>
      <c r="H244" s="59" t="n">
        <v>0.078</v>
      </c>
    </row>
    <row r="245" customFormat="false" ht="15.75" hidden="false" customHeight="false" outlineLevel="0" collapsed="false">
      <c r="A245" s="59" t="n">
        <v>6</v>
      </c>
      <c r="B245" s="59" t="n">
        <v>10</v>
      </c>
      <c r="C245" s="62" t="n">
        <v>0.1</v>
      </c>
      <c r="D245" s="59" t="s">
        <v>42</v>
      </c>
      <c r="E245" s="59" t="n">
        <v>26.402</v>
      </c>
      <c r="F245" s="59" t="n">
        <v>25.098</v>
      </c>
      <c r="G245" s="59" t="n">
        <v>2.267</v>
      </c>
      <c r="H245" s="59" t="n">
        <v>0.078</v>
      </c>
    </row>
    <row r="246" customFormat="false" ht="15.75" hidden="false" customHeight="false" outlineLevel="0" collapsed="false">
      <c r="A246" s="59" t="n">
        <v>6</v>
      </c>
      <c r="B246" s="59" t="n">
        <v>1</v>
      </c>
      <c r="C246" s="62" t="n">
        <v>0.01</v>
      </c>
      <c r="D246" s="59" t="s">
        <v>42</v>
      </c>
      <c r="E246" s="59" t="n">
        <v>30.076</v>
      </c>
      <c r="F246" s="59" t="n">
        <v>25.098</v>
      </c>
      <c r="G246" s="59" t="n">
        <v>2.267</v>
      </c>
      <c r="H246" s="59" t="n">
        <v>0.078</v>
      </c>
    </row>
    <row r="247" customFormat="false" ht="15.75" hidden="false" customHeight="false" outlineLevel="0" collapsed="false">
      <c r="A247" s="59" t="n">
        <v>6</v>
      </c>
      <c r="B247" s="59" t="n">
        <v>0.1</v>
      </c>
      <c r="C247" s="63" t="n">
        <v>0.001</v>
      </c>
      <c r="D247" s="59" t="s">
        <v>42</v>
      </c>
      <c r="E247" s="59" t="n">
        <v>32.404</v>
      </c>
      <c r="F247" s="59" t="n">
        <v>25.098</v>
      </c>
      <c r="G247" s="59" t="n">
        <v>2.267</v>
      </c>
      <c r="H247" s="59" t="n">
        <v>0.078</v>
      </c>
    </row>
    <row r="248" customFormat="false" ht="15.75" hidden="false" customHeight="false" outlineLevel="0" collapsed="false">
      <c r="A248" s="59" t="n">
        <v>6</v>
      </c>
      <c r="B248" s="59" t="s">
        <v>3</v>
      </c>
      <c r="C248" s="59" t="s">
        <v>131</v>
      </c>
      <c r="D248" s="59" t="s">
        <v>42</v>
      </c>
      <c r="E248" s="59" t="n">
        <v>23.932</v>
      </c>
      <c r="F248" s="59" t="n">
        <v>25.098</v>
      </c>
      <c r="G248" s="59" t="n">
        <v>2.267</v>
      </c>
      <c r="H248" s="59" t="n">
        <v>0.078</v>
      </c>
    </row>
    <row r="249" customFormat="false" ht="15.75" hidden="false" customHeight="false" outlineLevel="0" collapsed="false">
      <c r="A249" s="59" t="n">
        <v>6</v>
      </c>
      <c r="B249" s="59" t="s">
        <v>4</v>
      </c>
      <c r="C249" s="59" t="s">
        <v>132</v>
      </c>
      <c r="D249" s="59" t="s">
        <v>42</v>
      </c>
      <c r="E249" s="59" t="n">
        <v>24.407</v>
      </c>
      <c r="F249" s="59" t="n">
        <v>25.098</v>
      </c>
      <c r="G249" s="59" t="n">
        <v>2.267</v>
      </c>
      <c r="H249" s="59" t="n">
        <v>0.078</v>
      </c>
    </row>
    <row r="250" customFormat="false" ht="15.75" hidden="false" customHeight="false" outlineLevel="0" collapsed="false">
      <c r="A250" s="59" t="n">
        <v>6</v>
      </c>
      <c r="B250" s="59" t="s">
        <v>5</v>
      </c>
      <c r="C250" s="59" t="s">
        <v>133</v>
      </c>
      <c r="D250" s="59" t="s">
        <v>42</v>
      </c>
      <c r="E250" s="59" t="n">
        <v>23.484</v>
      </c>
      <c r="F250" s="59" t="n">
        <v>25.098</v>
      </c>
      <c r="G250" s="59" t="n">
        <v>2.267</v>
      </c>
      <c r="H250" s="59" t="n">
        <v>0.078</v>
      </c>
    </row>
    <row r="251" customFormat="false" ht="15.75" hidden="false" customHeight="false" outlineLevel="0" collapsed="false">
      <c r="A251" s="59" t="n">
        <v>6</v>
      </c>
      <c r="B251" s="59" t="s">
        <v>6</v>
      </c>
      <c r="C251" s="59" t="s">
        <v>105</v>
      </c>
      <c r="D251" s="59" t="s">
        <v>42</v>
      </c>
      <c r="E251" s="59" t="n">
        <v>24.321</v>
      </c>
      <c r="F251" s="59" t="n">
        <v>25.098</v>
      </c>
      <c r="G251" s="59" t="n">
        <v>2.267</v>
      </c>
      <c r="H251" s="59" t="n">
        <v>0.078</v>
      </c>
    </row>
    <row r="252" customFormat="false" ht="15.75" hidden="false" customHeight="false" outlineLevel="0" collapsed="false">
      <c r="A252" s="59" t="n">
        <v>6</v>
      </c>
      <c r="B252" s="59" t="s">
        <v>7</v>
      </c>
      <c r="C252" s="59" t="s">
        <v>106</v>
      </c>
      <c r="D252" s="59" t="s">
        <v>42</v>
      </c>
      <c r="E252" s="59" t="n">
        <v>24.602</v>
      </c>
      <c r="F252" s="59" t="n">
        <v>25.098</v>
      </c>
      <c r="G252" s="59" t="n">
        <v>2.267</v>
      </c>
      <c r="H252" s="59" t="n">
        <v>0.078</v>
      </c>
    </row>
    <row r="253" customFormat="false" ht="15.75" hidden="false" customHeight="false" outlineLevel="0" collapsed="false">
      <c r="A253" s="59" t="n">
        <v>6</v>
      </c>
      <c r="B253" s="59" t="s">
        <v>8</v>
      </c>
      <c r="C253" s="59" t="s">
        <v>134</v>
      </c>
      <c r="D253" s="59" t="s">
        <v>42</v>
      </c>
      <c r="E253" s="59" t="n">
        <v>24.163</v>
      </c>
      <c r="F253" s="59" t="n">
        <v>25.098</v>
      </c>
      <c r="G253" s="59" t="n">
        <v>2.267</v>
      </c>
      <c r="H253" s="59" t="n">
        <v>0.078</v>
      </c>
    </row>
    <row r="254" customFormat="false" ht="15.75" hidden="false" customHeight="false" outlineLevel="0" collapsed="false">
      <c r="A254" s="59" t="n">
        <v>6</v>
      </c>
      <c r="B254" s="59" t="s">
        <v>9</v>
      </c>
      <c r="C254" s="59" t="s">
        <v>135</v>
      </c>
      <c r="D254" s="59" t="s">
        <v>42</v>
      </c>
      <c r="E254" s="59" t="n">
        <v>23.935</v>
      </c>
      <c r="F254" s="59" t="n">
        <v>25.098</v>
      </c>
      <c r="G254" s="59" t="n">
        <v>2.267</v>
      </c>
      <c r="H254" s="59" t="n">
        <v>0.078</v>
      </c>
    </row>
    <row r="255" customFormat="false" ht="15.75" hidden="false" customHeight="false" outlineLevel="0" collapsed="false">
      <c r="A255" s="59" t="n">
        <v>6</v>
      </c>
      <c r="B255" s="59" t="s">
        <v>10</v>
      </c>
      <c r="C255" s="59" t="s">
        <v>136</v>
      </c>
      <c r="D255" s="59" t="s">
        <v>42</v>
      </c>
      <c r="E255" s="59" t="n">
        <v>24.721</v>
      </c>
      <c r="F255" s="59" t="n">
        <v>25.098</v>
      </c>
      <c r="G255" s="59" t="n">
        <v>2.267</v>
      </c>
      <c r="H255" s="59" t="n">
        <v>0.078</v>
      </c>
    </row>
    <row r="256" customFormat="false" ht="15.75" hidden="false" customHeight="false" outlineLevel="0" collapsed="false">
      <c r="A256" s="59" t="n">
        <v>6</v>
      </c>
      <c r="B256" s="59" t="s">
        <v>11</v>
      </c>
      <c r="C256" s="59" t="s">
        <v>137</v>
      </c>
      <c r="D256" s="59" t="s">
        <v>42</v>
      </c>
      <c r="E256" s="59" t="n">
        <v>24.083</v>
      </c>
      <c r="F256" s="59" t="n">
        <v>25.098</v>
      </c>
      <c r="G256" s="59" t="n">
        <v>2.267</v>
      </c>
      <c r="H256" s="59" t="n">
        <v>0.078</v>
      </c>
    </row>
    <row r="257" customFormat="false" ht="15.75" hidden="false" customHeight="false" outlineLevel="0" collapsed="false">
      <c r="A257" s="59" t="n">
        <v>6</v>
      </c>
      <c r="B257" s="59" t="s">
        <v>23</v>
      </c>
      <c r="C257" s="59" t="s">
        <v>138</v>
      </c>
      <c r="D257" s="59" t="s">
        <v>42</v>
      </c>
      <c r="E257" s="59" t="n">
        <v>24.583</v>
      </c>
      <c r="F257" s="59" t="n">
        <v>25.098</v>
      </c>
      <c r="G257" s="59" t="n">
        <v>2.267</v>
      </c>
      <c r="H257" s="59" t="n">
        <v>0.078</v>
      </c>
    </row>
    <row r="258" customFormat="false" ht="15.75" hidden="false" customHeight="false" outlineLevel="0" collapsed="false">
      <c r="A258" s="59" t="n">
        <v>6</v>
      </c>
      <c r="B258" s="59" t="s">
        <v>24</v>
      </c>
      <c r="C258" s="59" t="s">
        <v>139</v>
      </c>
      <c r="D258" s="59" t="s">
        <v>42</v>
      </c>
      <c r="E258" s="59" t="n">
        <v>24.854</v>
      </c>
      <c r="F258" s="59" t="n">
        <v>25.098</v>
      </c>
      <c r="G258" s="59" t="n">
        <v>2.267</v>
      </c>
      <c r="H258" s="59" t="n">
        <v>0.078</v>
      </c>
    </row>
    <row r="259" customFormat="false" ht="15.75" hidden="false" customHeight="false" outlineLevel="0" collapsed="false">
      <c r="A259" s="59" t="n">
        <v>6</v>
      </c>
      <c r="B259" s="59" t="s">
        <v>25</v>
      </c>
      <c r="C259" s="59" t="s">
        <v>140</v>
      </c>
      <c r="D259" s="59" t="s">
        <v>42</v>
      </c>
      <c r="E259" s="59" t="n">
        <v>24.784</v>
      </c>
      <c r="F259" s="59" t="n">
        <v>25.098</v>
      </c>
      <c r="G259" s="59" t="n">
        <v>2.267</v>
      </c>
      <c r="H259" s="59" t="n">
        <v>0.078</v>
      </c>
    </row>
    <row r="260" customFormat="false" ht="15.75" hidden="false" customHeight="false" outlineLevel="0" collapsed="false">
      <c r="A260" s="59" t="n">
        <v>6</v>
      </c>
      <c r="B260" s="59" t="s">
        <v>26</v>
      </c>
      <c r="C260" s="59" t="s">
        <v>141</v>
      </c>
      <c r="D260" s="59" t="s">
        <v>42</v>
      </c>
      <c r="E260" s="59" t="n">
        <v>24.209</v>
      </c>
      <c r="F260" s="59" t="n">
        <v>25.098</v>
      </c>
      <c r="G260" s="59" t="n">
        <v>2.267</v>
      </c>
      <c r="H260" s="59" t="n">
        <v>0.078</v>
      </c>
    </row>
    <row r="261" customFormat="false" ht="15.75" hidden="false" customHeight="false" outlineLevel="0" collapsed="false">
      <c r="A261" s="59" t="n">
        <v>6</v>
      </c>
      <c r="B261" s="59" t="s">
        <v>27</v>
      </c>
      <c r="C261" s="59" t="s">
        <v>142</v>
      </c>
      <c r="D261" s="59" t="s">
        <v>42</v>
      </c>
      <c r="E261" s="59" t="n">
        <v>23.534</v>
      </c>
      <c r="F261" s="59" t="n">
        <v>25.098</v>
      </c>
      <c r="G261" s="59" t="n">
        <v>2.267</v>
      </c>
      <c r="H261" s="59" t="n">
        <v>0.078</v>
      </c>
    </row>
    <row r="262" customFormat="false" ht="15.75" hidden="false" customHeight="false" outlineLevel="0" collapsed="false">
      <c r="A262" s="59" t="n">
        <v>6</v>
      </c>
      <c r="B262" s="59" t="s">
        <v>28</v>
      </c>
      <c r="C262" s="59" t="s">
        <v>143</v>
      </c>
      <c r="D262" s="59" t="s">
        <v>42</v>
      </c>
      <c r="E262" s="59" t="n">
        <v>24.973</v>
      </c>
      <c r="F262" s="59" t="n">
        <v>25.098</v>
      </c>
      <c r="G262" s="59" t="n">
        <v>2.267</v>
      </c>
      <c r="H262" s="59" t="n">
        <v>0.078</v>
      </c>
    </row>
    <row r="263" customFormat="false" ht="15.75" hidden="false" customHeight="false" outlineLevel="0" collapsed="false">
      <c r="A263" s="59" t="n">
        <v>6</v>
      </c>
      <c r="B263" s="59" t="s">
        <v>29</v>
      </c>
      <c r="C263" s="59" t="s">
        <v>144</v>
      </c>
      <c r="D263" s="59" t="s">
        <v>42</v>
      </c>
      <c r="E263" s="59" t="n">
        <v>24.253</v>
      </c>
      <c r="F263" s="59" t="n">
        <v>25.098</v>
      </c>
      <c r="G263" s="59" t="n">
        <v>2.267</v>
      </c>
      <c r="H263" s="59" t="n">
        <v>0.078</v>
      </c>
    </row>
    <row r="264" customFormat="false" ht="15.75" hidden="false" customHeight="false" outlineLevel="0" collapsed="false">
      <c r="A264" s="59" t="n">
        <v>6</v>
      </c>
      <c r="B264" s="59" t="s">
        <v>30</v>
      </c>
      <c r="C264" s="59" t="s">
        <v>145</v>
      </c>
      <c r="D264" s="59" t="s">
        <v>42</v>
      </c>
      <c r="E264" s="59" t="n">
        <v>24.39</v>
      </c>
      <c r="F264" s="59" t="n">
        <v>25.098</v>
      </c>
      <c r="G264" s="59" t="n">
        <v>2.267</v>
      </c>
      <c r="H264" s="59" t="n">
        <v>0.078</v>
      </c>
    </row>
    <row r="265" customFormat="false" ht="15.75" hidden="false" customHeight="false" outlineLevel="0" collapsed="false">
      <c r="A265" s="59" t="n">
        <v>6</v>
      </c>
      <c r="B265" s="59" t="s">
        <v>31</v>
      </c>
      <c r="C265" s="59" t="s">
        <v>146</v>
      </c>
      <c r="D265" s="59" t="s">
        <v>42</v>
      </c>
      <c r="E265" s="59" t="n">
        <v>24.773</v>
      </c>
      <c r="F265" s="59" t="n">
        <v>25.098</v>
      </c>
      <c r="G265" s="59" t="n">
        <v>2.267</v>
      </c>
      <c r="H265" s="59" t="n">
        <v>0.078</v>
      </c>
    </row>
    <row r="266" customFormat="false" ht="15.75" hidden="false" customHeight="false" outlineLevel="0" collapsed="false">
      <c r="A266" s="59" t="n">
        <v>7</v>
      </c>
      <c r="B266" s="59" t="n">
        <v>100</v>
      </c>
      <c r="C266" s="62" t="n">
        <v>1</v>
      </c>
      <c r="D266" s="59" t="s">
        <v>43</v>
      </c>
      <c r="E266" s="59" t="n">
        <v>26.475</v>
      </c>
      <c r="F266" s="59" t="n">
        <v>26.001</v>
      </c>
      <c r="G266" s="59" t="n">
        <v>3.061</v>
      </c>
      <c r="H266" s="59" t="n">
        <v>0.163</v>
      </c>
    </row>
    <row r="267" customFormat="false" ht="15.75" hidden="false" customHeight="false" outlineLevel="0" collapsed="false">
      <c r="A267" s="59" t="n">
        <v>7</v>
      </c>
      <c r="B267" s="59" t="n">
        <v>10</v>
      </c>
      <c r="C267" s="62" t="n">
        <v>0.1</v>
      </c>
      <c r="D267" s="59" t="s">
        <v>43</v>
      </c>
      <c r="E267" s="59" t="n">
        <v>29.713</v>
      </c>
      <c r="F267" s="59" t="n">
        <v>26.001</v>
      </c>
      <c r="G267" s="59" t="n">
        <v>3.061</v>
      </c>
      <c r="H267" s="59" t="n">
        <v>0.163</v>
      </c>
    </row>
    <row r="268" customFormat="false" ht="15.75" hidden="false" customHeight="false" outlineLevel="0" collapsed="false">
      <c r="A268" s="59" t="n">
        <v>7</v>
      </c>
      <c r="B268" s="59" t="n">
        <v>1</v>
      </c>
      <c r="C268" s="62" t="n">
        <v>0.01</v>
      </c>
      <c r="D268" s="59" t="s">
        <v>43</v>
      </c>
      <c r="E268" s="59" t="n">
        <v>32.776</v>
      </c>
      <c r="F268" s="59" t="n">
        <v>26.001</v>
      </c>
      <c r="G268" s="59" t="n">
        <v>3.061</v>
      </c>
      <c r="H268" s="59" t="n">
        <v>0.163</v>
      </c>
    </row>
    <row r="269" customFormat="false" ht="15.75" hidden="false" customHeight="false" outlineLevel="0" collapsed="false">
      <c r="A269" s="59" t="n">
        <v>7</v>
      </c>
      <c r="B269" s="59" t="n">
        <v>0.1</v>
      </c>
      <c r="C269" s="63" t="n">
        <v>0.001</v>
      </c>
      <c r="D269" s="59" t="s">
        <v>43</v>
      </c>
      <c r="E269" s="59" t="n">
        <v>35.97</v>
      </c>
      <c r="F269" s="59" t="n">
        <v>26.001</v>
      </c>
      <c r="G269" s="59" t="n">
        <v>3.061</v>
      </c>
      <c r="H269" s="59" t="n">
        <v>0.163</v>
      </c>
    </row>
    <row r="270" customFormat="false" ht="15.75" hidden="false" customHeight="false" outlineLevel="0" collapsed="false">
      <c r="A270" s="59" t="n">
        <v>7</v>
      </c>
      <c r="B270" s="59" t="s">
        <v>3</v>
      </c>
      <c r="C270" s="59" t="s">
        <v>131</v>
      </c>
      <c r="D270" s="59" t="s">
        <v>43</v>
      </c>
      <c r="E270" s="59" t="n">
        <v>26.829</v>
      </c>
      <c r="F270" s="59" t="n">
        <v>26.001</v>
      </c>
      <c r="G270" s="59" t="n">
        <v>3.061</v>
      </c>
      <c r="H270" s="59" t="n">
        <v>0.163</v>
      </c>
    </row>
    <row r="271" customFormat="false" ht="15.75" hidden="false" customHeight="false" outlineLevel="0" collapsed="false">
      <c r="A271" s="59" t="n">
        <v>7</v>
      </c>
      <c r="B271" s="59" t="s">
        <v>4</v>
      </c>
      <c r="C271" s="59" t="s">
        <v>132</v>
      </c>
      <c r="D271" s="59" t="s">
        <v>43</v>
      </c>
      <c r="E271" s="59" t="n">
        <v>27.075</v>
      </c>
      <c r="F271" s="59" t="n">
        <v>26.001</v>
      </c>
      <c r="G271" s="59" t="n">
        <v>3.061</v>
      </c>
      <c r="H271" s="59" t="n">
        <v>0.163</v>
      </c>
    </row>
    <row r="272" customFormat="false" ht="15.75" hidden="false" customHeight="false" outlineLevel="0" collapsed="false">
      <c r="A272" s="59" t="n">
        <v>7</v>
      </c>
      <c r="B272" s="59" t="s">
        <v>5</v>
      </c>
      <c r="C272" s="59" t="s">
        <v>133</v>
      </c>
      <c r="D272" s="59" t="s">
        <v>43</v>
      </c>
      <c r="E272" s="59" t="n">
        <v>26.751</v>
      </c>
      <c r="F272" s="59" t="n">
        <v>26.001</v>
      </c>
      <c r="G272" s="59" t="n">
        <v>3.061</v>
      </c>
      <c r="H272" s="59" t="n">
        <v>0.163</v>
      </c>
    </row>
    <row r="273" customFormat="false" ht="15.75" hidden="false" customHeight="false" outlineLevel="0" collapsed="false">
      <c r="A273" s="59" t="n">
        <v>7</v>
      </c>
      <c r="B273" s="59" t="s">
        <v>6</v>
      </c>
      <c r="C273" s="59" t="s">
        <v>105</v>
      </c>
      <c r="D273" s="59" t="s">
        <v>43</v>
      </c>
      <c r="E273" s="59" t="n">
        <v>27.65</v>
      </c>
      <c r="F273" s="59" t="n">
        <v>26.001</v>
      </c>
      <c r="G273" s="59" t="n">
        <v>3.061</v>
      </c>
      <c r="H273" s="59" t="n">
        <v>0.163</v>
      </c>
    </row>
    <row r="274" customFormat="false" ht="15.75" hidden="false" customHeight="false" outlineLevel="0" collapsed="false">
      <c r="A274" s="59" t="n">
        <v>7</v>
      </c>
      <c r="B274" s="59" t="s">
        <v>7</v>
      </c>
      <c r="C274" s="59" t="s">
        <v>106</v>
      </c>
      <c r="D274" s="59" t="s">
        <v>43</v>
      </c>
      <c r="E274" s="59" t="n">
        <v>29.144</v>
      </c>
      <c r="F274" s="59" t="n">
        <v>26.001</v>
      </c>
      <c r="G274" s="59" t="n">
        <v>3.061</v>
      </c>
      <c r="H274" s="59" t="n">
        <v>0.163</v>
      </c>
    </row>
    <row r="275" customFormat="false" ht="15.75" hidden="false" customHeight="false" outlineLevel="0" collapsed="false">
      <c r="A275" s="59" t="n">
        <v>7</v>
      </c>
      <c r="B275" s="59" t="s">
        <v>8</v>
      </c>
      <c r="C275" s="59" t="s">
        <v>134</v>
      </c>
      <c r="D275" s="59" t="s">
        <v>43</v>
      </c>
      <c r="E275" s="59" t="n">
        <v>26.807</v>
      </c>
      <c r="F275" s="59" t="n">
        <v>26.001</v>
      </c>
      <c r="G275" s="59" t="n">
        <v>3.061</v>
      </c>
      <c r="H275" s="59" t="n">
        <v>0.163</v>
      </c>
    </row>
    <row r="276" customFormat="false" ht="15.75" hidden="false" customHeight="false" outlineLevel="0" collapsed="false">
      <c r="A276" s="59" t="n">
        <v>7</v>
      </c>
      <c r="B276" s="59" t="s">
        <v>9</v>
      </c>
      <c r="C276" s="59" t="s">
        <v>135</v>
      </c>
      <c r="D276" s="59" t="s">
        <v>43</v>
      </c>
      <c r="E276" s="59" t="n">
        <v>26.926</v>
      </c>
      <c r="F276" s="59" t="n">
        <v>26.001</v>
      </c>
      <c r="G276" s="59" t="n">
        <v>3.061</v>
      </c>
      <c r="H276" s="59" t="n">
        <v>0.163</v>
      </c>
    </row>
    <row r="277" customFormat="false" ht="15.75" hidden="false" customHeight="false" outlineLevel="0" collapsed="false">
      <c r="A277" s="59" t="n">
        <v>7</v>
      </c>
      <c r="B277" s="59" t="s">
        <v>10</v>
      </c>
      <c r="C277" s="59" t="s">
        <v>136</v>
      </c>
      <c r="D277" s="59" t="s">
        <v>43</v>
      </c>
      <c r="E277" s="59" t="n">
        <v>27.519</v>
      </c>
      <c r="F277" s="59" t="n">
        <v>26.001</v>
      </c>
      <c r="G277" s="59" t="n">
        <v>3.061</v>
      </c>
      <c r="H277" s="59" t="n">
        <v>0.163</v>
      </c>
    </row>
    <row r="278" customFormat="false" ht="15.75" hidden="false" customHeight="false" outlineLevel="0" collapsed="false">
      <c r="A278" s="59" t="n">
        <v>7</v>
      </c>
      <c r="B278" s="59" t="s">
        <v>11</v>
      </c>
      <c r="C278" s="59" t="s">
        <v>137</v>
      </c>
      <c r="D278" s="59" t="s">
        <v>43</v>
      </c>
      <c r="E278" s="59" t="n">
        <v>27.656</v>
      </c>
      <c r="F278" s="59" t="n">
        <v>26.001</v>
      </c>
      <c r="G278" s="59" t="n">
        <v>3.061</v>
      </c>
      <c r="H278" s="59" t="n">
        <v>0.163</v>
      </c>
    </row>
    <row r="279" customFormat="false" ht="15.75" hidden="false" customHeight="false" outlineLevel="0" collapsed="false">
      <c r="A279" s="59" t="n">
        <v>7</v>
      </c>
      <c r="B279" s="59" t="s">
        <v>23</v>
      </c>
      <c r="C279" s="59" t="s">
        <v>138</v>
      </c>
      <c r="D279" s="59" t="s">
        <v>43</v>
      </c>
      <c r="E279" s="59" t="n">
        <v>27.658</v>
      </c>
      <c r="F279" s="59" t="n">
        <v>26.001</v>
      </c>
      <c r="G279" s="59" t="n">
        <v>3.061</v>
      </c>
      <c r="H279" s="59" t="n">
        <v>0.163</v>
      </c>
    </row>
    <row r="280" customFormat="false" ht="15.75" hidden="false" customHeight="false" outlineLevel="0" collapsed="false">
      <c r="A280" s="59" t="n">
        <v>7</v>
      </c>
      <c r="B280" s="59" t="s">
        <v>24</v>
      </c>
      <c r="C280" s="59" t="s">
        <v>139</v>
      </c>
      <c r="D280" s="59" t="s">
        <v>43</v>
      </c>
      <c r="E280" s="59" t="n">
        <v>27.537</v>
      </c>
      <c r="F280" s="59" t="n">
        <v>26.001</v>
      </c>
      <c r="G280" s="59" t="n">
        <v>3.061</v>
      </c>
      <c r="H280" s="59" t="n">
        <v>0.163</v>
      </c>
    </row>
    <row r="281" customFormat="false" ht="15.75" hidden="false" customHeight="false" outlineLevel="0" collapsed="false">
      <c r="A281" s="59" t="n">
        <v>7</v>
      </c>
      <c r="B281" s="59" t="s">
        <v>25</v>
      </c>
      <c r="C281" s="59" t="s">
        <v>140</v>
      </c>
      <c r="D281" s="59" t="s">
        <v>43</v>
      </c>
      <c r="E281" s="59" t="n">
        <v>27.941</v>
      </c>
      <c r="F281" s="59" t="n">
        <v>26.001</v>
      </c>
      <c r="G281" s="59" t="n">
        <v>3.061</v>
      </c>
      <c r="H281" s="59" t="n">
        <v>0.163</v>
      </c>
    </row>
    <row r="282" customFormat="false" ht="15.75" hidden="false" customHeight="false" outlineLevel="0" collapsed="false">
      <c r="A282" s="59" t="n">
        <v>7</v>
      </c>
      <c r="B282" s="59" t="s">
        <v>26</v>
      </c>
      <c r="C282" s="59" t="s">
        <v>141</v>
      </c>
      <c r="D282" s="59" t="s">
        <v>43</v>
      </c>
      <c r="E282" s="59" t="n">
        <v>27.037</v>
      </c>
      <c r="F282" s="59" t="n">
        <v>26.001</v>
      </c>
      <c r="G282" s="59" t="n">
        <v>3.061</v>
      </c>
      <c r="H282" s="59" t="n">
        <v>0.163</v>
      </c>
    </row>
    <row r="283" customFormat="false" ht="15.75" hidden="false" customHeight="false" outlineLevel="0" collapsed="false">
      <c r="A283" s="59" t="n">
        <v>7</v>
      </c>
      <c r="B283" s="59" t="s">
        <v>27</v>
      </c>
      <c r="C283" s="59" t="s">
        <v>142</v>
      </c>
      <c r="D283" s="59" t="s">
        <v>43</v>
      </c>
      <c r="E283" s="59" t="n">
        <v>26.375</v>
      </c>
      <c r="F283" s="59" t="n">
        <v>26.001</v>
      </c>
      <c r="G283" s="59" t="n">
        <v>3.061</v>
      </c>
      <c r="H283" s="59" t="n">
        <v>0.163</v>
      </c>
    </row>
    <row r="284" customFormat="false" ht="15.75" hidden="false" customHeight="false" outlineLevel="0" collapsed="false">
      <c r="A284" s="59" t="n">
        <v>7</v>
      </c>
      <c r="B284" s="59" t="s">
        <v>28</v>
      </c>
      <c r="C284" s="59" t="s">
        <v>143</v>
      </c>
      <c r="D284" s="59" t="s">
        <v>43</v>
      </c>
      <c r="E284" s="59" t="n">
        <v>27.605</v>
      </c>
      <c r="F284" s="59" t="n">
        <v>26.001</v>
      </c>
      <c r="G284" s="59" t="n">
        <v>3.061</v>
      </c>
      <c r="H284" s="59" t="n">
        <v>0.163</v>
      </c>
    </row>
    <row r="285" customFormat="false" ht="15.75" hidden="false" customHeight="false" outlineLevel="0" collapsed="false">
      <c r="A285" s="59" t="n">
        <v>7</v>
      </c>
      <c r="B285" s="59" t="s">
        <v>29</v>
      </c>
      <c r="C285" s="59" t="s">
        <v>144</v>
      </c>
      <c r="D285" s="59" t="s">
        <v>43</v>
      </c>
      <c r="E285" s="59" t="n">
        <v>26.634</v>
      </c>
      <c r="F285" s="59" t="n">
        <v>26.001</v>
      </c>
      <c r="G285" s="59" t="n">
        <v>3.061</v>
      </c>
      <c r="H285" s="59" t="n">
        <v>0.163</v>
      </c>
    </row>
    <row r="286" customFormat="false" ht="15.75" hidden="false" customHeight="false" outlineLevel="0" collapsed="false">
      <c r="A286" s="59" t="n">
        <v>7</v>
      </c>
      <c r="B286" s="59" t="s">
        <v>30</v>
      </c>
      <c r="C286" s="59" t="s">
        <v>145</v>
      </c>
      <c r="D286" s="59" t="s">
        <v>43</v>
      </c>
      <c r="E286" s="59" t="n">
        <v>27.419</v>
      </c>
      <c r="F286" s="59" t="n">
        <v>26.001</v>
      </c>
      <c r="G286" s="59" t="n">
        <v>3.061</v>
      </c>
      <c r="H286" s="59" t="n">
        <v>0.163</v>
      </c>
    </row>
    <row r="287" customFormat="false" ht="15.75" hidden="false" customHeight="false" outlineLevel="0" collapsed="false">
      <c r="A287" s="59" t="n">
        <v>7</v>
      </c>
      <c r="B287" s="59" t="s">
        <v>31</v>
      </c>
      <c r="C287" s="59" t="s">
        <v>146</v>
      </c>
      <c r="D287" s="59" t="s">
        <v>43</v>
      </c>
      <c r="E287" s="59" t="n">
        <v>27.96</v>
      </c>
      <c r="F287" s="59" t="n">
        <v>26.001</v>
      </c>
      <c r="G287" s="59" t="n">
        <v>3.061</v>
      </c>
      <c r="H287" s="59" t="n">
        <v>0.163</v>
      </c>
    </row>
    <row r="288" customFormat="false" ht="15.75" hidden="false" customHeight="false" outlineLevel="0" collapsed="false">
      <c r="A288" s="59" t="n">
        <v>7</v>
      </c>
      <c r="B288" s="59" t="n">
        <v>100</v>
      </c>
      <c r="C288" s="62" t="n">
        <v>1</v>
      </c>
      <c r="D288" s="59" t="s">
        <v>44</v>
      </c>
      <c r="E288" s="59" t="n">
        <v>22.36</v>
      </c>
      <c r="F288" s="59" t="n">
        <v>26.001</v>
      </c>
      <c r="G288" s="59" t="n">
        <v>3.061</v>
      </c>
      <c r="H288" s="59" t="n">
        <v>0.163</v>
      </c>
    </row>
    <row r="289" customFormat="false" ht="15.75" hidden="false" customHeight="false" outlineLevel="0" collapsed="false">
      <c r="A289" s="59" t="n">
        <v>7</v>
      </c>
      <c r="B289" s="59" t="n">
        <v>10</v>
      </c>
      <c r="C289" s="62" t="n">
        <v>0.1</v>
      </c>
      <c r="D289" s="59" t="s">
        <v>44</v>
      </c>
      <c r="E289" s="59" t="n">
        <v>25.662</v>
      </c>
      <c r="F289" s="59" t="n">
        <v>26.001</v>
      </c>
      <c r="G289" s="59" t="n">
        <v>3.061</v>
      </c>
      <c r="H289" s="59" t="n">
        <v>0.163</v>
      </c>
    </row>
    <row r="290" customFormat="false" ht="15.75" hidden="false" customHeight="false" outlineLevel="0" collapsed="false">
      <c r="A290" s="59" t="n">
        <v>7</v>
      </c>
      <c r="B290" s="59" t="n">
        <v>1</v>
      </c>
      <c r="C290" s="62" t="n">
        <v>0.01</v>
      </c>
      <c r="D290" s="59" t="s">
        <v>44</v>
      </c>
      <c r="E290" s="59" t="n">
        <v>28.753</v>
      </c>
      <c r="F290" s="59" t="n">
        <v>26.001</v>
      </c>
      <c r="G290" s="59" t="n">
        <v>3.061</v>
      </c>
      <c r="H290" s="59" t="n">
        <v>0.163</v>
      </c>
    </row>
    <row r="291" customFormat="false" ht="15.75" hidden="false" customHeight="false" outlineLevel="0" collapsed="false">
      <c r="A291" s="59" t="n">
        <v>7</v>
      </c>
      <c r="B291" s="59" t="n">
        <v>0.1</v>
      </c>
      <c r="C291" s="63" t="n">
        <v>0.001</v>
      </c>
      <c r="D291" s="59" t="s">
        <v>44</v>
      </c>
      <c r="E291" s="59" t="n">
        <v>32.223</v>
      </c>
      <c r="F291" s="59" t="n">
        <v>26.001</v>
      </c>
      <c r="G291" s="59" t="n">
        <v>3.061</v>
      </c>
      <c r="H291" s="59" t="n">
        <v>0.163</v>
      </c>
    </row>
    <row r="292" customFormat="false" ht="15.75" hidden="false" customHeight="false" outlineLevel="0" collapsed="false">
      <c r="A292" s="59" t="n">
        <v>7</v>
      </c>
      <c r="B292" s="59" t="s">
        <v>3</v>
      </c>
      <c r="C292" s="59" t="s">
        <v>131</v>
      </c>
      <c r="D292" s="59" t="s">
        <v>44</v>
      </c>
      <c r="E292" s="59" t="n">
        <v>23.172</v>
      </c>
      <c r="F292" s="59" t="n">
        <v>26.001</v>
      </c>
      <c r="G292" s="59" t="n">
        <v>3.061</v>
      </c>
      <c r="H292" s="59" t="n">
        <v>0.163</v>
      </c>
    </row>
    <row r="293" customFormat="false" ht="15.75" hidden="false" customHeight="false" outlineLevel="0" collapsed="false">
      <c r="A293" s="59" t="n">
        <v>7</v>
      </c>
      <c r="B293" s="59" t="s">
        <v>4</v>
      </c>
      <c r="C293" s="59" t="s">
        <v>132</v>
      </c>
      <c r="D293" s="59" t="s">
        <v>44</v>
      </c>
      <c r="E293" s="59" t="n">
        <v>22.946</v>
      </c>
      <c r="F293" s="59" t="n">
        <v>26.001</v>
      </c>
      <c r="G293" s="59" t="n">
        <v>3.061</v>
      </c>
      <c r="H293" s="59" t="n">
        <v>0.163</v>
      </c>
    </row>
    <row r="294" customFormat="false" ht="15.75" hidden="false" customHeight="false" outlineLevel="0" collapsed="false">
      <c r="A294" s="59" t="n">
        <v>7</v>
      </c>
      <c r="B294" s="59" t="s">
        <v>5</v>
      </c>
      <c r="C294" s="59" t="s">
        <v>133</v>
      </c>
      <c r="D294" s="59" t="s">
        <v>44</v>
      </c>
      <c r="E294" s="59" t="n">
        <v>23.342</v>
      </c>
      <c r="F294" s="59" t="n">
        <v>26.001</v>
      </c>
      <c r="G294" s="59" t="n">
        <v>3.061</v>
      </c>
      <c r="H294" s="59" t="n">
        <v>0.163</v>
      </c>
    </row>
    <row r="295" customFormat="false" ht="15.75" hidden="false" customHeight="false" outlineLevel="0" collapsed="false">
      <c r="A295" s="59" t="n">
        <v>7</v>
      </c>
      <c r="B295" s="59" t="s">
        <v>6</v>
      </c>
      <c r="C295" s="59" t="s">
        <v>105</v>
      </c>
      <c r="D295" s="59" t="s">
        <v>44</v>
      </c>
      <c r="E295" s="59" t="n">
        <v>23.487</v>
      </c>
      <c r="F295" s="59" t="n">
        <v>26.001</v>
      </c>
      <c r="G295" s="59" t="n">
        <v>3.061</v>
      </c>
      <c r="H295" s="59" t="n">
        <v>0.163</v>
      </c>
    </row>
    <row r="296" customFormat="false" ht="15.75" hidden="false" customHeight="false" outlineLevel="0" collapsed="false">
      <c r="A296" s="59" t="n">
        <v>7</v>
      </c>
      <c r="B296" s="59" t="s">
        <v>7</v>
      </c>
      <c r="C296" s="59" t="s">
        <v>106</v>
      </c>
      <c r="D296" s="59" t="s">
        <v>44</v>
      </c>
      <c r="E296" s="59" t="n">
        <v>23.828</v>
      </c>
      <c r="F296" s="59" t="n">
        <v>26.001</v>
      </c>
      <c r="G296" s="59" t="n">
        <v>3.061</v>
      </c>
      <c r="H296" s="59" t="n">
        <v>0.163</v>
      </c>
    </row>
    <row r="297" customFormat="false" ht="15.75" hidden="false" customHeight="false" outlineLevel="0" collapsed="false">
      <c r="A297" s="59" t="n">
        <v>7</v>
      </c>
      <c r="B297" s="59" t="s">
        <v>8</v>
      </c>
      <c r="C297" s="59" t="s">
        <v>134</v>
      </c>
      <c r="D297" s="59" t="s">
        <v>44</v>
      </c>
      <c r="E297" s="59" t="n">
        <v>22.723</v>
      </c>
      <c r="F297" s="59" t="n">
        <v>26.001</v>
      </c>
      <c r="G297" s="59" t="n">
        <v>3.061</v>
      </c>
      <c r="H297" s="59" t="n">
        <v>0.163</v>
      </c>
    </row>
    <row r="298" customFormat="false" ht="15.75" hidden="false" customHeight="false" outlineLevel="0" collapsed="false">
      <c r="A298" s="59" t="n">
        <v>7</v>
      </c>
      <c r="B298" s="59" t="s">
        <v>9</v>
      </c>
      <c r="C298" s="59" t="s">
        <v>135</v>
      </c>
      <c r="D298" s="59" t="s">
        <v>44</v>
      </c>
      <c r="E298" s="59" t="n">
        <v>23.373</v>
      </c>
      <c r="F298" s="59" t="n">
        <v>26.001</v>
      </c>
      <c r="G298" s="59" t="n">
        <v>3.061</v>
      </c>
      <c r="H298" s="59" t="n">
        <v>0.163</v>
      </c>
    </row>
    <row r="299" customFormat="false" ht="15.75" hidden="false" customHeight="false" outlineLevel="0" collapsed="false">
      <c r="A299" s="59" t="n">
        <v>7</v>
      </c>
      <c r="B299" s="59" t="s">
        <v>10</v>
      </c>
      <c r="C299" s="59" t="s">
        <v>136</v>
      </c>
      <c r="D299" s="59" t="s">
        <v>44</v>
      </c>
      <c r="E299" s="59" t="n">
        <v>23.604</v>
      </c>
      <c r="F299" s="59" t="n">
        <v>26.001</v>
      </c>
      <c r="G299" s="59" t="n">
        <v>3.061</v>
      </c>
      <c r="H299" s="59" t="n">
        <v>0.163</v>
      </c>
    </row>
    <row r="300" customFormat="false" ht="15.75" hidden="false" customHeight="false" outlineLevel="0" collapsed="false">
      <c r="A300" s="59" t="n">
        <v>7</v>
      </c>
      <c r="B300" s="59" t="s">
        <v>11</v>
      </c>
      <c r="C300" s="59" t="s">
        <v>137</v>
      </c>
      <c r="D300" s="59" t="s">
        <v>44</v>
      </c>
      <c r="E300" s="59" t="n">
        <v>23.282</v>
      </c>
      <c r="F300" s="59" t="n">
        <v>26.001</v>
      </c>
      <c r="G300" s="59" t="n">
        <v>3.061</v>
      </c>
      <c r="H300" s="59" t="n">
        <v>0.163</v>
      </c>
    </row>
    <row r="301" customFormat="false" ht="15.75" hidden="false" customHeight="false" outlineLevel="0" collapsed="false">
      <c r="A301" s="59" t="n">
        <v>7</v>
      </c>
      <c r="B301" s="59" t="s">
        <v>23</v>
      </c>
      <c r="C301" s="59" t="s">
        <v>138</v>
      </c>
      <c r="D301" s="59" t="s">
        <v>44</v>
      </c>
      <c r="E301" s="59" t="n">
        <v>23.377</v>
      </c>
      <c r="F301" s="59" t="n">
        <v>26.001</v>
      </c>
      <c r="G301" s="59" t="n">
        <v>3.061</v>
      </c>
      <c r="H301" s="59" t="n">
        <v>0.163</v>
      </c>
    </row>
    <row r="302" customFormat="false" ht="15.75" hidden="false" customHeight="false" outlineLevel="0" collapsed="false">
      <c r="A302" s="59" t="n">
        <v>7</v>
      </c>
      <c r="B302" s="59" t="s">
        <v>24</v>
      </c>
      <c r="C302" s="59" t="s">
        <v>139</v>
      </c>
      <c r="D302" s="59" t="s">
        <v>44</v>
      </c>
      <c r="E302" s="59" t="n">
        <v>23.041</v>
      </c>
      <c r="F302" s="59" t="n">
        <v>26.001</v>
      </c>
      <c r="G302" s="59" t="n">
        <v>3.061</v>
      </c>
      <c r="H302" s="59" t="n">
        <v>0.163</v>
      </c>
    </row>
    <row r="303" customFormat="false" ht="15.75" hidden="false" customHeight="false" outlineLevel="0" collapsed="false">
      <c r="A303" s="59" t="n">
        <v>7</v>
      </c>
      <c r="B303" s="59" t="s">
        <v>25</v>
      </c>
      <c r="C303" s="59" t="s">
        <v>140</v>
      </c>
      <c r="D303" s="59" t="s">
        <v>44</v>
      </c>
      <c r="E303" s="59" t="n">
        <v>23.034</v>
      </c>
      <c r="F303" s="59" t="n">
        <v>26.001</v>
      </c>
      <c r="G303" s="59" t="n">
        <v>3.061</v>
      </c>
      <c r="H303" s="59" t="n">
        <v>0.163</v>
      </c>
    </row>
    <row r="304" customFormat="false" ht="15.75" hidden="false" customHeight="false" outlineLevel="0" collapsed="false">
      <c r="A304" s="59" t="n">
        <v>7</v>
      </c>
      <c r="B304" s="59" t="s">
        <v>26</v>
      </c>
      <c r="C304" s="59" t="s">
        <v>141</v>
      </c>
      <c r="D304" s="59" t="s">
        <v>44</v>
      </c>
      <c r="E304" s="59" t="n">
        <v>23.313</v>
      </c>
      <c r="F304" s="59" t="n">
        <v>26.001</v>
      </c>
      <c r="G304" s="59" t="n">
        <v>3.061</v>
      </c>
      <c r="H304" s="59" t="n">
        <v>0.163</v>
      </c>
    </row>
    <row r="305" customFormat="false" ht="15.75" hidden="false" customHeight="false" outlineLevel="0" collapsed="false">
      <c r="A305" s="59" t="n">
        <v>7</v>
      </c>
      <c r="B305" s="59" t="s">
        <v>27</v>
      </c>
      <c r="C305" s="59" t="s">
        <v>142</v>
      </c>
      <c r="D305" s="59" t="s">
        <v>44</v>
      </c>
      <c r="E305" s="59" t="n">
        <v>22.295</v>
      </c>
      <c r="F305" s="59" t="n">
        <v>26.001</v>
      </c>
      <c r="G305" s="59" t="n">
        <v>3.061</v>
      </c>
      <c r="H305" s="59" t="n">
        <v>0.163</v>
      </c>
    </row>
    <row r="306" customFormat="false" ht="15.75" hidden="false" customHeight="false" outlineLevel="0" collapsed="false">
      <c r="A306" s="59" t="n">
        <v>7</v>
      </c>
      <c r="B306" s="59" t="s">
        <v>28</v>
      </c>
      <c r="C306" s="59" t="s">
        <v>143</v>
      </c>
      <c r="D306" s="59" t="s">
        <v>44</v>
      </c>
      <c r="E306" s="59" t="n">
        <v>22.935</v>
      </c>
      <c r="F306" s="59" t="n">
        <v>26.001</v>
      </c>
      <c r="G306" s="59" t="n">
        <v>3.061</v>
      </c>
      <c r="H306" s="59" t="n">
        <v>0.163</v>
      </c>
    </row>
    <row r="307" customFormat="false" ht="15.75" hidden="false" customHeight="false" outlineLevel="0" collapsed="false">
      <c r="A307" s="59" t="n">
        <v>7</v>
      </c>
      <c r="B307" s="59" t="s">
        <v>29</v>
      </c>
      <c r="C307" s="59" t="s">
        <v>144</v>
      </c>
      <c r="D307" s="59" t="s">
        <v>44</v>
      </c>
      <c r="E307" s="59" t="n">
        <v>23.047</v>
      </c>
      <c r="F307" s="59" t="n">
        <v>26.001</v>
      </c>
      <c r="G307" s="59" t="n">
        <v>3.061</v>
      </c>
      <c r="H307" s="59" t="n">
        <v>0.163</v>
      </c>
    </row>
    <row r="308" customFormat="false" ht="15.75" hidden="false" customHeight="false" outlineLevel="0" collapsed="false">
      <c r="A308" s="59" t="n">
        <v>7</v>
      </c>
      <c r="B308" s="59" t="s">
        <v>30</v>
      </c>
      <c r="C308" s="59" t="s">
        <v>145</v>
      </c>
      <c r="D308" s="59" t="s">
        <v>44</v>
      </c>
      <c r="E308" s="59" t="n">
        <v>23.225</v>
      </c>
      <c r="F308" s="59" t="n">
        <v>26.001</v>
      </c>
      <c r="G308" s="59" t="n">
        <v>3.061</v>
      </c>
      <c r="H308" s="59" t="n">
        <v>0.163</v>
      </c>
    </row>
    <row r="309" customFormat="false" ht="15.75" hidden="false" customHeight="false" outlineLevel="0" collapsed="false">
      <c r="A309" s="59" t="n">
        <v>7</v>
      </c>
      <c r="B309" s="59" t="s">
        <v>31</v>
      </c>
      <c r="C309" s="59" t="s">
        <v>146</v>
      </c>
      <c r="D309" s="59" t="s">
        <v>44</v>
      </c>
      <c r="E309" s="59" t="n">
        <v>23.562</v>
      </c>
      <c r="F309" s="59" t="n">
        <v>26.001</v>
      </c>
      <c r="G309" s="59" t="n">
        <v>3.061</v>
      </c>
      <c r="H309" s="59" t="n">
        <v>0.163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outlinePr summaryBelow="0"/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9.75"/>
  </cols>
  <sheetData>
    <row r="1" customFormat="false" ht="15.75" hidden="false" customHeight="false" outlineLevel="0" collapsed="false">
      <c r="A1" s="64" t="s">
        <v>37</v>
      </c>
    </row>
    <row r="2" customFormat="false" ht="15.75" hidden="false" customHeight="false" outlineLevel="0" collapsed="false">
      <c r="A2" s="64" t="s">
        <v>34</v>
      </c>
    </row>
    <row r="3" customFormat="false" ht="15.75" hidden="false" customHeight="false" outlineLevel="0" collapsed="false">
      <c r="A3" s="65" t="s">
        <v>41</v>
      </c>
    </row>
    <row r="4" customFormat="false" ht="15.75" hidden="false" customHeight="false" outlineLevel="0" collapsed="false">
      <c r="A4" s="66" t="s">
        <v>40</v>
      </c>
    </row>
    <row r="5" customFormat="false" ht="15.75" hidden="false" customHeight="false" outlineLevel="0" collapsed="false">
      <c r="A5" s="66" t="s">
        <v>42</v>
      </c>
    </row>
    <row r="6" customFormat="false" ht="15.75" hidden="false" customHeight="false" outlineLevel="0" collapsed="false">
      <c r="A6" s="66" t="s">
        <v>44</v>
      </c>
    </row>
    <row r="7" customFormat="false" ht="15.75" hidden="false" customHeight="false" outlineLevel="0" collapsed="false">
      <c r="A7" s="66" t="s">
        <v>32</v>
      </c>
    </row>
    <row r="8" customFormat="false" ht="15.75" hidden="false" customHeight="false" outlineLevel="0" collapsed="false">
      <c r="A8" s="66" t="s">
        <v>1</v>
      </c>
    </row>
    <row r="9" customFormat="false" ht="15.75" hidden="false" customHeight="false" outlineLevel="0" collapsed="false">
      <c r="A9" s="66" t="s">
        <v>33</v>
      </c>
    </row>
    <row r="10" customFormat="false" ht="15.75" hidden="false" customHeight="false" outlineLevel="0" collapsed="false">
      <c r="A10" s="66" t="s">
        <v>22</v>
      </c>
    </row>
    <row r="11" customFormat="false" ht="15.75" hidden="false" customHeight="false" outlineLevel="0" collapsed="false">
      <c r="A11" s="66" t="s">
        <v>39</v>
      </c>
    </row>
    <row r="12" customFormat="false" ht="15.75" hidden="false" customHeight="false" outlineLevel="0" collapsed="false">
      <c r="A12" s="66" t="s">
        <v>38</v>
      </c>
    </row>
    <row r="13" customFormat="false" ht="15.75" hidden="false" customHeight="false" outlineLevel="0" collapsed="false">
      <c r="A13" s="66" t="s">
        <v>43</v>
      </c>
    </row>
    <row r="14" customFormat="false" ht="15.75" hidden="false" customHeight="false" outlineLevel="0" collapsed="false">
      <c r="A14" s="66" t="s">
        <v>35</v>
      </c>
    </row>
    <row r="15" customFormat="false" ht="15.75" hidden="false" customHeight="false" outlineLevel="0" collapsed="false">
      <c r="A15" s="66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outlinePr summaryBelow="0"/>
    <pageSetUpPr fitToPage="false"/>
  </sheetPr>
  <dimension ref="A1:O19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4" activeCellId="0" sqref="E24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0" width="13.94"/>
    <col collapsed="false" customWidth="true" hidden="false" outlineLevel="0" max="2" min="2" style="0" width="7.66"/>
    <col collapsed="false" customWidth="true" hidden="false" outlineLevel="0" max="3" min="3" style="0" width="19.4"/>
    <col collapsed="false" customWidth="true" hidden="false" outlineLevel="0" max="4" min="4" style="0" width="20.49"/>
    <col collapsed="false" customWidth="true" hidden="false" outlineLevel="0" max="7" min="5" style="0" width="19.4"/>
    <col collapsed="false" customWidth="true" hidden="false" outlineLevel="0" max="8" min="8" style="0" width="18.31"/>
    <col collapsed="false" customWidth="true" hidden="false" outlineLevel="0" max="10" min="9" style="0" width="19.4"/>
    <col collapsed="false" customWidth="true" hidden="false" outlineLevel="0" max="11" min="11" style="0" width="9.21"/>
    <col collapsed="false" customWidth="true" hidden="false" outlineLevel="0" max="15" min="12" style="0" width="19.4"/>
  </cols>
  <sheetData>
    <row r="1" customFormat="false" ht="15.75" hidden="false" customHeight="false" outlineLevel="0" collapsed="false">
      <c r="A1" s="66"/>
      <c r="B1" s="66" t="s">
        <v>22</v>
      </c>
      <c r="C1" s="66" t="s">
        <v>32</v>
      </c>
      <c r="D1" s="66" t="s">
        <v>33</v>
      </c>
      <c r="E1" s="66" t="s">
        <v>34</v>
      </c>
      <c r="F1" s="66" t="s">
        <v>35</v>
      </c>
      <c r="G1" s="66" t="s">
        <v>36</v>
      </c>
      <c r="H1" s="66" t="s">
        <v>37</v>
      </c>
      <c r="I1" s="66" t="s">
        <v>38</v>
      </c>
      <c r="J1" s="66" t="s">
        <v>39</v>
      </c>
      <c r="K1" s="66" t="s">
        <v>40</v>
      </c>
      <c r="L1" s="66" t="s">
        <v>41</v>
      </c>
      <c r="M1" s="66" t="s">
        <v>42</v>
      </c>
      <c r="N1" s="66" t="s">
        <v>43</v>
      </c>
      <c r="O1" s="66" t="s">
        <v>44</v>
      </c>
    </row>
    <row r="2" customFormat="false" ht="15.75" hidden="false" customHeight="false" outlineLevel="0" collapsed="false">
      <c r="A2" s="66" t="s">
        <v>3</v>
      </c>
      <c r="B2" s="67" t="n">
        <v>0.573760173066293</v>
      </c>
      <c r="C2" s="68" t="n">
        <v>1.03448358883146</v>
      </c>
      <c r="D2" s="68" t="n">
        <v>0.485047700611933</v>
      </c>
      <c r="E2" s="68" t="n">
        <v>0.977575901315958</v>
      </c>
      <c r="F2" s="68" t="n">
        <v>0.45679162015468</v>
      </c>
      <c r="G2" s="68" t="n">
        <v>0.934080422162435</v>
      </c>
      <c r="H2" s="68" t="n">
        <v>3.00867444829566</v>
      </c>
      <c r="I2" s="68" t="n">
        <v>0.688122310851646</v>
      </c>
      <c r="J2" s="68" t="n">
        <v>0.664060860014903</v>
      </c>
      <c r="K2" s="67" t="n">
        <v>0.506238332722502</v>
      </c>
      <c r="L2" s="68" t="n">
        <v>0.393024727543073</v>
      </c>
      <c r="M2" s="68" t="n">
        <v>1.43445271262592</v>
      </c>
      <c r="N2" s="68" t="n">
        <v>0.787012491548207</v>
      </c>
      <c r="O2" s="68" t="n">
        <v>0.558642191778192</v>
      </c>
    </row>
    <row r="3" customFormat="false" ht="15.75" hidden="false" customHeight="false" outlineLevel="0" collapsed="false">
      <c r="A3" s="66" t="s">
        <v>4</v>
      </c>
      <c r="B3" s="67" t="n">
        <v>0.779898403058954</v>
      </c>
      <c r="C3" s="68" t="n">
        <v>0.895540499240341</v>
      </c>
      <c r="D3" s="68" t="n">
        <v>0.868384623055566</v>
      </c>
      <c r="E3" s="68" t="n">
        <v>0.462131257983568</v>
      </c>
      <c r="F3" s="68" t="n">
        <v>0.625384012615424</v>
      </c>
      <c r="G3" s="68" t="n">
        <v>0.95781967213645</v>
      </c>
      <c r="H3" s="68" t="n">
        <v>2.42753000930115</v>
      </c>
      <c r="I3" s="68" t="n">
        <v>0.485080157096295</v>
      </c>
      <c r="J3" s="68" t="n">
        <v>0.429479572628729</v>
      </c>
      <c r="K3" s="67" t="n">
        <v>0.908371094319164</v>
      </c>
      <c r="L3" s="68" t="n">
        <v>0.525132088271695</v>
      </c>
      <c r="M3" s="68" t="n">
        <v>0.95763408797764</v>
      </c>
      <c r="N3" s="68" t="n">
        <v>0.657677981514064</v>
      </c>
      <c r="O3" s="68" t="n">
        <v>0.655024456684422</v>
      </c>
    </row>
    <row r="4" customFormat="false" ht="15.75" hidden="false" customHeight="false" outlineLevel="0" collapsed="false">
      <c r="A4" s="66" t="s">
        <v>5</v>
      </c>
      <c r="B4" s="67" t="n">
        <v>0.279706555074847</v>
      </c>
      <c r="C4" s="68" t="n">
        <v>0.682505501528954</v>
      </c>
      <c r="D4" s="68" t="n">
        <v>0.48838247320319</v>
      </c>
      <c r="E4" s="68" t="n">
        <v>0.430439976477074</v>
      </c>
      <c r="F4" s="68" t="n">
        <v>0.50675296965557</v>
      </c>
      <c r="G4" s="68" t="n">
        <v>0.60092130210316</v>
      </c>
      <c r="H4" s="68" t="n">
        <v>3.00596248765626</v>
      </c>
      <c r="I4" s="68" t="n">
        <v>0.735160225831932</v>
      </c>
      <c r="J4" s="68" t="n">
        <v>0.710529099686269</v>
      </c>
      <c r="K4" s="67" t="n">
        <v>0.58329696139971</v>
      </c>
      <c r="L4" s="68" t="n">
        <v>0.41546058971495</v>
      </c>
      <c r="M4" s="68" t="n">
        <v>2.09989628562227</v>
      </c>
      <c r="N4" s="68" t="n">
        <v>0.833111806338338</v>
      </c>
      <c r="O4" s="68" t="n">
        <v>0.495607611094832</v>
      </c>
    </row>
    <row r="5" customFormat="false" ht="15.75" hidden="false" customHeight="false" outlineLevel="0" collapsed="false">
      <c r="A5" s="66" t="s">
        <v>6</v>
      </c>
      <c r="B5" s="67" t="n">
        <v>0.188625368456372</v>
      </c>
      <c r="C5" s="68" t="n">
        <v>0.335802148205783</v>
      </c>
      <c r="D5" s="68" t="n">
        <v>0.212578744788797</v>
      </c>
      <c r="E5" s="68" t="n">
        <v>0.147859466855391</v>
      </c>
      <c r="F5" s="68" t="n">
        <v>0.304707676519583</v>
      </c>
      <c r="G5" s="68" t="n">
        <v>0.341258755205344</v>
      </c>
      <c r="H5" s="68" t="n">
        <v>1.75142085283726</v>
      </c>
      <c r="I5" s="68" t="n">
        <v>0.455245645825954</v>
      </c>
      <c r="J5" s="68" t="n">
        <v>0.381205806098784</v>
      </c>
      <c r="K5" s="67" t="n">
        <v>0.36844117064616</v>
      </c>
      <c r="L5" s="68" t="n">
        <v>0.321357292554401</v>
      </c>
      <c r="M5" s="68" t="n">
        <v>1.03031948872785</v>
      </c>
      <c r="N5" s="68" t="n">
        <v>0.432285103691793</v>
      </c>
      <c r="O5" s="68" t="n">
        <v>0.447495464220775</v>
      </c>
    </row>
    <row r="6" customFormat="false" ht="15.75" hidden="false" customHeight="false" outlineLevel="0" collapsed="false">
      <c r="A6" s="66" t="s">
        <v>7</v>
      </c>
      <c r="B6" s="67" t="n">
        <v>0.0352092187972422</v>
      </c>
      <c r="C6" s="68" t="n">
        <v>0.130037592135086</v>
      </c>
      <c r="D6" s="68" t="n">
        <v>0.0501486453160444</v>
      </c>
      <c r="E6" s="68" t="n">
        <v>0.197318831887196</v>
      </c>
      <c r="F6" s="68" t="n">
        <v>0.111693577385215</v>
      </c>
      <c r="G6" s="68" t="n">
        <v>0.139529444293195</v>
      </c>
      <c r="H6" s="68" t="n">
        <v>1.25453648433627</v>
      </c>
      <c r="I6" s="68" t="n">
        <v>0.153270859904881</v>
      </c>
      <c r="J6" s="68" t="n">
        <v>0.401951983261992</v>
      </c>
      <c r="K6" s="67" t="n">
        <v>0.129421363366696</v>
      </c>
      <c r="L6" s="68" t="n">
        <v>0.154827992448541</v>
      </c>
      <c r="M6" s="68" t="n">
        <v>0.811255610542896</v>
      </c>
      <c r="N6" s="68" t="n">
        <v>0.145296559699025</v>
      </c>
      <c r="O6" s="68" t="n">
        <v>0.35195833041807</v>
      </c>
    </row>
    <row r="7" customFormat="false" ht="15.75" hidden="false" customHeight="false" outlineLevel="0" collapsed="false">
      <c r="A7" s="66" t="s">
        <v>8</v>
      </c>
      <c r="B7" s="67" t="n">
        <v>0.530571939087624</v>
      </c>
      <c r="C7" s="68" t="n">
        <v>0.684419596035463</v>
      </c>
      <c r="D7" s="68" t="n">
        <v>0.450142683276379</v>
      </c>
      <c r="E7" s="68" t="n">
        <v>0.515038431805786</v>
      </c>
      <c r="F7" s="68" t="n">
        <v>0.687612948791795</v>
      </c>
      <c r="G7" s="68" t="n">
        <v>0.685942324154776</v>
      </c>
      <c r="H7" s="68" t="n">
        <v>4.15136656515786</v>
      </c>
      <c r="I7" s="68" t="n">
        <v>0.582197950791679</v>
      </c>
      <c r="J7" s="68" t="n">
        <v>0.796608805276842</v>
      </c>
      <c r="K7" s="67" t="n">
        <v>0.773281331021839</v>
      </c>
      <c r="L7" s="68" t="n">
        <v>0.505332287076584</v>
      </c>
      <c r="M7" s="68" t="n">
        <v>1.17853996035931</v>
      </c>
      <c r="N7" s="68" t="n">
        <v>0.799750283048306</v>
      </c>
      <c r="O7" s="68" t="n">
        <v>0.766414523255719</v>
      </c>
    </row>
    <row r="8" customFormat="false" ht="15.75" hidden="false" customHeight="false" outlineLevel="0" collapsed="false">
      <c r="A8" s="66" t="s">
        <v>9</v>
      </c>
      <c r="B8" s="67" t="n">
        <v>0.513666276985596</v>
      </c>
      <c r="C8" s="68" t="n">
        <v>0.52380275693697</v>
      </c>
      <c r="D8" s="68" t="n">
        <v>0.473878868888497</v>
      </c>
      <c r="E8" s="68" t="n">
        <v>0.512404753765105</v>
      </c>
      <c r="F8" s="68" t="n">
        <v>0.378113440794545</v>
      </c>
      <c r="G8" s="68" t="n">
        <v>0.684899778708164</v>
      </c>
      <c r="H8" s="68" t="n">
        <v>2.6422802230145</v>
      </c>
      <c r="I8" s="68" t="n">
        <v>0.717867201988615</v>
      </c>
      <c r="J8" s="68" t="n">
        <v>0.609906529819867</v>
      </c>
      <c r="K8" s="67" t="n">
        <v>0.63106726261746</v>
      </c>
      <c r="L8" s="68" t="n">
        <v>0.457220963217262</v>
      </c>
      <c r="M8" s="68" t="n">
        <v>1.4307965999099</v>
      </c>
      <c r="N8" s="68" t="n">
        <v>0.733226273346648</v>
      </c>
      <c r="O8" s="68" t="n">
        <v>0.484904692034655</v>
      </c>
    </row>
    <row r="9" customFormat="false" ht="15.75" hidden="false" customHeight="false" outlineLevel="0" collapsed="false">
      <c r="A9" s="66" t="s">
        <v>10</v>
      </c>
      <c r="B9" s="67" t="n">
        <v>0.537416467080242</v>
      </c>
      <c r="C9" s="68" t="n">
        <v>0.481929461076513</v>
      </c>
      <c r="D9" s="68" t="n">
        <v>0.416891705805043</v>
      </c>
      <c r="E9" s="68" t="n">
        <v>0.263129697324982</v>
      </c>
      <c r="F9" s="68" t="n">
        <v>0.368617942032623</v>
      </c>
      <c r="G9" s="68" t="n">
        <v>0.426764500822774</v>
      </c>
      <c r="H9" s="68" t="n">
        <v>1.55206749660518</v>
      </c>
      <c r="I9" s="68" t="n">
        <v>0.3612878813529</v>
      </c>
      <c r="J9" s="68" t="n">
        <v>0.464040666833046</v>
      </c>
      <c r="K9" s="67" t="n">
        <v>0.546132270415591</v>
      </c>
      <c r="L9" s="68" t="n">
        <v>0.326296018570936</v>
      </c>
      <c r="M9" s="68" t="n">
        <v>0.733151440374187</v>
      </c>
      <c r="N9" s="68" t="n">
        <v>0.475652722766677</v>
      </c>
      <c r="O9" s="68" t="n">
        <v>0.412100666202846</v>
      </c>
    </row>
    <row r="10" customFormat="false" ht="15.75" hidden="false" customHeight="false" outlineLevel="0" collapsed="false">
      <c r="A10" s="66" t="s">
        <v>11</v>
      </c>
      <c r="B10" s="67" t="n">
        <v>0.346868193775421</v>
      </c>
      <c r="C10" s="68" t="n">
        <v>0.521241866738641</v>
      </c>
      <c r="D10" s="68" t="n">
        <v>0.399826867690108</v>
      </c>
      <c r="E10" s="68" t="n">
        <v>0.349863727083986</v>
      </c>
      <c r="F10" s="68" t="n">
        <v>0.366596422510241</v>
      </c>
      <c r="G10" s="68" t="n">
        <v>0.552695577877806</v>
      </c>
      <c r="H10" s="68" t="n">
        <v>2.43191219011615</v>
      </c>
      <c r="I10" s="68" t="n">
        <v>0.670515504602175</v>
      </c>
      <c r="J10" s="68" t="n">
        <v>0.581257254279486</v>
      </c>
      <c r="K10" s="67" t="n">
        <v>0.848670463219236</v>
      </c>
      <c r="L10" s="68" t="n">
        <v>0.377514408770173</v>
      </c>
      <c r="M10" s="68" t="n">
        <v>1.26153689688453</v>
      </c>
      <c r="N10" s="68" t="n">
        <v>0.430396373986839</v>
      </c>
      <c r="O10" s="68" t="n">
        <v>0.516998655854322</v>
      </c>
    </row>
    <row r="11" customFormat="false" ht="15.75" hidden="false" customHeight="false" outlineLevel="0" collapsed="false">
      <c r="A11" s="66" t="s">
        <v>23</v>
      </c>
      <c r="B11" s="67" t="n">
        <v>0.678250906716467</v>
      </c>
      <c r="C11" s="68" t="n">
        <v>0.453767591741429</v>
      </c>
      <c r="D11" s="68" t="n">
        <v>0.637983193391625</v>
      </c>
      <c r="E11" s="68" t="n">
        <v>0.42980994487009</v>
      </c>
      <c r="F11" s="68" t="n">
        <v>0.421492650611742</v>
      </c>
      <c r="G11" s="68" t="n">
        <v>0.540639354999261</v>
      </c>
      <c r="H11" s="68" t="n">
        <v>2.10896120194405</v>
      </c>
      <c r="I11" s="68" t="n">
        <v>0.475175460392397</v>
      </c>
      <c r="J11" s="68" t="n">
        <v>0.44814113784211</v>
      </c>
      <c r="K11" s="67" t="n">
        <v>0.755234366718248</v>
      </c>
      <c r="L11" s="68" t="n">
        <v>0.335377776629128</v>
      </c>
      <c r="M11" s="68" t="n">
        <v>0.824474406847329</v>
      </c>
      <c r="N11" s="68" t="n">
        <v>0.429768633022837</v>
      </c>
      <c r="O11" s="68" t="n">
        <v>0.483540612944137</v>
      </c>
    </row>
    <row r="12" customFormat="false" ht="15.75" hidden="false" customHeight="false" outlineLevel="0" collapsed="false">
      <c r="A12" s="66" t="s">
        <v>24</v>
      </c>
      <c r="B12" s="67" t="n">
        <v>0.848517897047957</v>
      </c>
      <c r="C12" s="68" t="n">
        <v>0.610175817668367</v>
      </c>
      <c r="D12" s="68" t="n">
        <v>0.617765748465756</v>
      </c>
      <c r="E12" s="68" t="n">
        <v>0.733076261971685</v>
      </c>
      <c r="F12" s="68" t="n">
        <v>0.537982929541385</v>
      </c>
      <c r="G12" s="68" t="n">
        <v>0.477244056993268</v>
      </c>
      <c r="H12" s="68" t="n">
        <v>1.27506650229652</v>
      </c>
      <c r="I12" s="68" t="n">
        <v>0.285058468775332</v>
      </c>
      <c r="J12" s="68" t="n">
        <v>0.302427821784156</v>
      </c>
      <c r="K12" s="67" t="n">
        <v>0.6512534336402</v>
      </c>
      <c r="L12" s="68" t="n">
        <v>0.344082000182197</v>
      </c>
      <c r="M12" s="68" t="n">
        <v>0.654722751955253</v>
      </c>
      <c r="N12" s="68" t="n">
        <v>0.469445291898599</v>
      </c>
      <c r="O12" s="68" t="n">
        <v>0.612633947287927</v>
      </c>
    </row>
    <row r="13" customFormat="false" ht="15.75" hidden="false" customHeight="false" outlineLevel="0" collapsed="false">
      <c r="A13" s="66" t="s">
        <v>25</v>
      </c>
      <c r="B13" s="67" t="n">
        <v>0.564926270918873</v>
      </c>
      <c r="C13" s="68" t="n">
        <v>0.490782750771173</v>
      </c>
      <c r="D13" s="68" t="n">
        <v>0.642369419456237</v>
      </c>
      <c r="E13" s="68" t="n">
        <v>0.459768123757259</v>
      </c>
      <c r="F13" s="68" t="n">
        <v>0.610937413920784</v>
      </c>
      <c r="G13" s="68" t="n">
        <v>0.730636647096383</v>
      </c>
      <c r="H13" s="68" t="n">
        <v>1.86554356669061</v>
      </c>
      <c r="I13" s="68" t="n">
        <v>0.404804693547362</v>
      </c>
      <c r="J13" s="68" t="n">
        <v>0.284032167529219</v>
      </c>
      <c r="K13" s="67" t="n">
        <v>0.687161184428617</v>
      </c>
      <c r="L13" s="68" t="n">
        <v>0.403471156150268</v>
      </c>
      <c r="M13" s="68" t="n">
        <v>0.694894096433743</v>
      </c>
      <c r="N13" s="68" t="n">
        <v>0.349574261460202</v>
      </c>
      <c r="O13" s="68" t="n">
        <v>0.615661591123118</v>
      </c>
    </row>
    <row r="14" customFormat="false" ht="15.75" hidden="false" customHeight="false" outlineLevel="0" collapsed="false">
      <c r="A14" s="66" t="s">
        <v>26</v>
      </c>
      <c r="B14" s="67" t="n">
        <v>0.435705463344049</v>
      </c>
      <c r="C14" s="68" t="n">
        <v>0.584664513964605</v>
      </c>
      <c r="D14" s="68" t="n">
        <v>0.393845249350726</v>
      </c>
      <c r="E14" s="68" t="n">
        <v>0.493257314335159</v>
      </c>
      <c r="F14" s="68" t="n">
        <v>0.419469404724276</v>
      </c>
      <c r="G14" s="68" t="n">
        <v>0.434625480080118</v>
      </c>
      <c r="H14" s="68" t="n">
        <v>2.40790770918364</v>
      </c>
      <c r="I14" s="68" t="n">
        <v>0.42566699301017</v>
      </c>
      <c r="J14" s="68" t="n">
        <v>0.485556353034519</v>
      </c>
      <c r="K14" s="67" t="n">
        <v>0.518335326082918</v>
      </c>
      <c r="L14" s="68" t="n">
        <v>0.348943955510876</v>
      </c>
      <c r="M14" s="68" t="n">
        <v>1.13331286037888</v>
      </c>
      <c r="N14" s="68" t="n">
        <v>0.676172010569783</v>
      </c>
      <c r="O14" s="68" t="n">
        <v>0.505833785412553</v>
      </c>
    </row>
    <row r="15" customFormat="false" ht="15.75" hidden="false" customHeight="false" outlineLevel="0" collapsed="false">
      <c r="A15" s="66" t="s">
        <v>27</v>
      </c>
      <c r="B15" s="67" t="n">
        <v>0.947146955230652</v>
      </c>
      <c r="C15" s="68" t="n">
        <v>1.16360968753606</v>
      </c>
      <c r="D15" s="68" t="n">
        <v>0.847227206675352</v>
      </c>
      <c r="E15" s="68" t="n">
        <v>0.88037265054612</v>
      </c>
      <c r="F15" s="68" t="n">
        <v>0.999412751121363</v>
      </c>
      <c r="G15" s="68" t="n">
        <v>1.27294964980464</v>
      </c>
      <c r="H15" s="68" t="n">
        <v>4.46595163243733</v>
      </c>
      <c r="I15" s="68" t="n">
        <v>0.498872136097862</v>
      </c>
      <c r="J15" s="68" t="n">
        <v>0.844660856481825</v>
      </c>
      <c r="K15" s="67" t="n">
        <v>0.8324305182396</v>
      </c>
      <c r="L15" s="68" t="n">
        <v>0.635230393821833</v>
      </c>
      <c r="M15" s="68" t="n">
        <v>2.01245217121747</v>
      </c>
      <c r="N15" s="68" t="n">
        <v>1.09616109701946</v>
      </c>
      <c r="O15" s="68" t="n">
        <v>1.03602613803971</v>
      </c>
    </row>
    <row r="16" customFormat="false" ht="15.75" hidden="false" customHeight="false" outlineLevel="0" collapsed="false">
      <c r="A16" s="66" t="s">
        <v>28</v>
      </c>
      <c r="B16" s="67" t="n">
        <v>0.964557073578902</v>
      </c>
      <c r="C16" s="68" t="n">
        <v>0.686819764822537</v>
      </c>
      <c r="D16" s="68" t="n">
        <v>0.85891687047549</v>
      </c>
      <c r="E16" s="68" t="n">
        <v>0.509038375560465</v>
      </c>
      <c r="F16" s="68" t="n">
        <v>0.58424124100641</v>
      </c>
      <c r="G16" s="68" t="n">
        <v>0.633778810339147</v>
      </c>
      <c r="H16" s="68" t="n">
        <v>1.92710099932228</v>
      </c>
      <c r="I16" s="68" t="n">
        <v>0.357107782022614</v>
      </c>
      <c r="J16" s="68" t="n">
        <v>0.375402677328749</v>
      </c>
      <c r="K16" s="67" t="n">
        <v>1.0586940998212</v>
      </c>
      <c r="L16" s="68" t="n">
        <v>0.444568495456967</v>
      </c>
      <c r="M16" s="68" t="n">
        <v>0.591688886219869</v>
      </c>
      <c r="N16" s="68" t="n">
        <v>0.446717296608533</v>
      </c>
      <c r="O16" s="68" t="n">
        <v>0.660118565855285</v>
      </c>
    </row>
    <row r="17" customFormat="false" ht="15.75" hidden="false" customHeight="false" outlineLevel="0" collapsed="false">
      <c r="A17" s="66" t="s">
        <v>29</v>
      </c>
      <c r="B17" s="67" t="n">
        <v>0.350869165196697</v>
      </c>
      <c r="C17" s="68" t="n">
        <v>0.552816698459494</v>
      </c>
      <c r="D17" s="68" t="n">
        <v>0.42965115287061</v>
      </c>
      <c r="E17" s="68" t="n">
        <v>0.318789557139081</v>
      </c>
      <c r="F17" s="68" t="n">
        <v>0.550704402004126</v>
      </c>
      <c r="G17" s="68" t="n">
        <v>0.109805816471067</v>
      </c>
      <c r="H17" s="68" t="n">
        <v>3.16736958807251</v>
      </c>
      <c r="I17" s="68" t="n">
        <v>0.564607028140741</v>
      </c>
      <c r="J17" s="68" t="n">
        <v>0.677625587383452</v>
      </c>
      <c r="K17" s="67" t="n">
        <v>0.395207079537398</v>
      </c>
      <c r="L17" s="68" t="n">
        <v>0.417238567203546</v>
      </c>
      <c r="M17" s="68" t="n">
        <v>1.09167713083011</v>
      </c>
      <c r="N17" s="68" t="n">
        <v>0.907372858191371</v>
      </c>
      <c r="O17" s="68" t="n">
        <v>0.610050677262194</v>
      </c>
    </row>
    <row r="18" customFormat="false" ht="15.75" hidden="false" customHeight="false" outlineLevel="0" collapsed="false">
      <c r="A18" s="66" t="s">
        <v>30</v>
      </c>
      <c r="B18" s="67" t="n">
        <v>0.225092932182087</v>
      </c>
      <c r="C18" s="68" t="n">
        <v>0.322438894068303</v>
      </c>
      <c r="D18" s="68" t="n">
        <v>0.335502770114327</v>
      </c>
      <c r="E18" s="68" t="n">
        <v>0.486441044858577</v>
      </c>
      <c r="F18" s="68" t="n">
        <v>0.362835906149603</v>
      </c>
      <c r="G18" s="68" t="n">
        <v>0.410528801405744</v>
      </c>
      <c r="H18" s="68" t="n">
        <v>2.59973651228506</v>
      </c>
      <c r="I18" s="68" t="n">
        <v>0.456934465435302</v>
      </c>
      <c r="J18" s="68" t="n">
        <v>0.522439762300039</v>
      </c>
      <c r="K18" s="67" t="n">
        <v>0.360100026734386</v>
      </c>
      <c r="L18" s="68" t="n">
        <v>0.199800385701308</v>
      </c>
      <c r="M18" s="68" t="n">
        <v>0.971583590696954</v>
      </c>
      <c r="N18" s="68" t="n">
        <v>0.511663488453878</v>
      </c>
      <c r="O18" s="68" t="n">
        <v>0.538174713576085</v>
      </c>
    </row>
    <row r="19" customFormat="false" ht="15.75" hidden="false" customHeight="false" outlineLevel="0" collapsed="false">
      <c r="A19" s="66" t="s">
        <v>31</v>
      </c>
      <c r="B19" s="67" t="n">
        <v>0.213410674195455</v>
      </c>
      <c r="C19" s="68" t="n">
        <v>0.346550564141886</v>
      </c>
      <c r="D19" s="68" t="n">
        <v>0.239330506075245</v>
      </c>
      <c r="E19" s="68" t="n">
        <v>0.334577457237297</v>
      </c>
      <c r="F19" s="68" t="n">
        <v>0.352268189333737</v>
      </c>
      <c r="G19" s="68" t="n">
        <v>0.301930882928364</v>
      </c>
      <c r="H19" s="68" t="n">
        <v>1.8841412084543</v>
      </c>
      <c r="I19" s="68" t="n">
        <v>0.255899149750491</v>
      </c>
      <c r="J19" s="68" t="n">
        <v>0.256540027711217</v>
      </c>
      <c r="K19" s="67" t="n">
        <v>0.246086353099481</v>
      </c>
      <c r="L19" s="68" t="n">
        <v>0.231303936756882</v>
      </c>
      <c r="M19" s="68" t="n">
        <v>0.701427071163429</v>
      </c>
      <c r="N19" s="68" t="n">
        <v>0.344760502572668</v>
      </c>
      <c r="O19" s="68" t="n">
        <v>0.424472275343367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outlinePr summaryBelow="0"/>
    <pageSetUpPr fitToPage="false"/>
  </sheetPr>
  <dimension ref="A1:N309"/>
  <sheetViews>
    <sheetView showFormulas="false" showGridLines="true" showRowColHeaders="true" showZeros="true" rightToLeft="false" tabSelected="false" showOutlineSymbols="true" defaultGridColor="true" view="normal" topLeftCell="A41" colorId="64" zoomScale="75" zoomScaleNormal="75" zoomScalePageLayoutView="100" workbookViewId="0">
      <selection pane="topLeft" activeCell="H2" activeCellId="0" sqref="H2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0" width="9.63"/>
    <col collapsed="false" customWidth="true" hidden="false" outlineLevel="0" max="2" min="2" style="0" width="8.77"/>
    <col collapsed="false" customWidth="true" hidden="false" outlineLevel="0" max="3" min="3" style="0" width="15.09"/>
    <col collapsed="false" customWidth="true" hidden="false" outlineLevel="0" max="4" min="4" style="0" width="11.45"/>
    <col collapsed="false" customWidth="true" hidden="false" outlineLevel="0" max="5" min="5" style="0" width="14.96"/>
    <col collapsed="false" customWidth="true" hidden="false" outlineLevel="0" max="6" min="6" style="0" width="14.12"/>
    <col collapsed="false" customWidth="true" hidden="false" outlineLevel="0" max="8" min="8" style="0" width="9.87"/>
    <col collapsed="false" customWidth="true" hidden="true" outlineLevel="0" max="9" min="9" style="0" width="13.03"/>
    <col collapsed="false" customWidth="true" hidden="false" outlineLevel="0" max="10" min="10" style="0" width="8.66"/>
    <col collapsed="false" customWidth="true" hidden="false" outlineLevel="0" max="11" min="11" style="0" width="8.3"/>
    <col collapsed="false" customWidth="true" hidden="false" outlineLevel="0" max="13" min="13" style="0" width="12.9"/>
    <col collapsed="false" customWidth="true" hidden="false" outlineLevel="0" max="14" min="14" style="0" width="8.66"/>
  </cols>
  <sheetData>
    <row r="1" customFormat="false" ht="15.75" hidden="false" customHeight="false" outlineLevel="0" collapsed="false">
      <c r="A1" s="69" t="s">
        <v>0</v>
      </c>
      <c r="B1" s="70" t="s">
        <v>147</v>
      </c>
      <c r="C1" s="70" t="s">
        <v>49</v>
      </c>
      <c r="D1" s="70" t="s">
        <v>130</v>
      </c>
      <c r="E1" s="70"/>
      <c r="F1" s="71" t="s">
        <v>52</v>
      </c>
      <c r="G1" s="59"/>
      <c r="H1" s="59"/>
      <c r="I1" s="59"/>
      <c r="J1" s="59"/>
      <c r="K1" s="72"/>
      <c r="L1" s="59"/>
      <c r="M1" s="59"/>
      <c r="N1" s="72"/>
    </row>
    <row r="2" customFormat="false" ht="15.75" hidden="false" customHeight="false" outlineLevel="0" collapsed="false">
      <c r="A2" s="73" t="n">
        <v>1</v>
      </c>
      <c r="B2" s="74" t="s">
        <v>80</v>
      </c>
      <c r="C2" s="74" t="s">
        <v>22</v>
      </c>
      <c r="D2" s="75" t="n">
        <v>1</v>
      </c>
      <c r="E2" s="74" t="str">
        <f aca="false">C2&amp;D2</f>
        <v>INSRR1</v>
      </c>
      <c r="F2" s="76" t="n">
        <v>29.576</v>
      </c>
      <c r="G2" s="59"/>
      <c r="H2" s="77" t="s">
        <v>38</v>
      </c>
      <c r="I2" s="78" t="s">
        <v>148</v>
      </c>
      <c r="J2" s="78" t="s">
        <v>149</v>
      </c>
      <c r="K2" s="79" t="s">
        <v>150</v>
      </c>
      <c r="L2" s="59"/>
      <c r="M2" s="37" t="s">
        <v>151</v>
      </c>
      <c r="N2" s="37"/>
    </row>
    <row r="3" customFormat="false" ht="15.75" hidden="false" customHeight="false" outlineLevel="0" collapsed="false">
      <c r="A3" s="80" t="n">
        <v>1</v>
      </c>
      <c r="B3" s="68" t="s">
        <v>85</v>
      </c>
      <c r="C3" s="68" t="s">
        <v>22</v>
      </c>
      <c r="D3" s="81" t="n">
        <v>0.1</v>
      </c>
      <c r="E3" s="68" t="str">
        <f aca="false">C3&amp;D3</f>
        <v>INSRR0.1</v>
      </c>
      <c r="F3" s="82" t="n">
        <v>32.381</v>
      </c>
      <c r="G3" s="59"/>
      <c r="H3" s="83" t="n">
        <v>1</v>
      </c>
      <c r="I3" s="68" t="str">
        <f aca="false">H2&amp;H3</f>
        <v>MOBP1</v>
      </c>
      <c r="J3" s="67" t="n">
        <f aca="false">VLOOKUP(I3, E:F,2,0)</f>
        <v>30.133</v>
      </c>
      <c r="K3" s="82" t="n">
        <f aca="false">LOG10(H3)</f>
        <v>0</v>
      </c>
      <c r="L3" s="59"/>
      <c r="M3" s="37"/>
      <c r="N3" s="37"/>
    </row>
    <row r="4" customFormat="false" ht="15.75" hidden="false" customHeight="false" outlineLevel="0" collapsed="false">
      <c r="A4" s="80" t="n">
        <v>1</v>
      </c>
      <c r="B4" s="68" t="s">
        <v>86</v>
      </c>
      <c r="C4" s="68" t="s">
        <v>22</v>
      </c>
      <c r="D4" s="81" t="n">
        <v>0.01</v>
      </c>
      <c r="E4" s="68" t="str">
        <f aca="false">C4&amp;D4</f>
        <v>INSRR0.01</v>
      </c>
      <c r="F4" s="82" t="n">
        <v>36.337</v>
      </c>
      <c r="G4" s="59"/>
      <c r="H4" s="83" t="n">
        <v>0.1</v>
      </c>
      <c r="I4" s="68" t="str">
        <f aca="false">$H$2&amp;$H4</f>
        <v>MOBP0.1</v>
      </c>
      <c r="J4" s="67" t="n">
        <f aca="false">VLOOKUP(I4, E:F,2,0)</f>
        <v>25.832</v>
      </c>
      <c r="K4" s="82" t="n">
        <f aca="false">LOG10(H4)</f>
        <v>-1</v>
      </c>
      <c r="L4" s="59"/>
      <c r="M4" s="80" t="s">
        <v>152</v>
      </c>
      <c r="N4" s="82" t="n">
        <f aca="false">RSQ($K$3:$K$6,$J$3:$J$6)</f>
        <v>0.226951163090329</v>
      </c>
    </row>
    <row r="5" customFormat="false" ht="15.75" hidden="false" customHeight="false" outlineLevel="0" collapsed="false">
      <c r="A5" s="80" t="n">
        <v>1</v>
      </c>
      <c r="B5" s="68" t="s">
        <v>87</v>
      </c>
      <c r="C5" s="68" t="s">
        <v>22</v>
      </c>
      <c r="D5" s="84" t="n">
        <v>0.001</v>
      </c>
      <c r="E5" s="68" t="str">
        <f aca="false">C5&amp;D5</f>
        <v>INSRR0.001</v>
      </c>
      <c r="F5" s="82" t="s">
        <v>88</v>
      </c>
      <c r="G5" s="59"/>
      <c r="H5" s="83" t="n">
        <v>0.01</v>
      </c>
      <c r="I5" s="68" t="str">
        <f aca="false">$H$2&amp;$H5</f>
        <v>MOBP0.01</v>
      </c>
      <c r="J5" s="67" t="n">
        <f aca="false">VLOOKUP(I5, E:F,2,0)</f>
        <v>29.306</v>
      </c>
      <c r="K5" s="82" t="n">
        <f aca="false">LOG10(H5)</f>
        <v>-2</v>
      </c>
      <c r="L5" s="59"/>
      <c r="M5" s="80" t="s">
        <v>153</v>
      </c>
      <c r="N5" s="82" t="n">
        <f aca="false">SLOPE($K$3:$K$6,$J$3:$J$6)</f>
        <v>-0.229730907065825</v>
      </c>
    </row>
    <row r="6" customFormat="false" ht="15.75" hidden="false" customHeight="false" outlineLevel="0" collapsed="false">
      <c r="A6" s="80" t="n">
        <v>1</v>
      </c>
      <c r="B6" s="68" t="s">
        <v>89</v>
      </c>
      <c r="C6" s="68" t="s">
        <v>22</v>
      </c>
      <c r="D6" s="68" t="s">
        <v>131</v>
      </c>
      <c r="E6" s="68" t="str">
        <f aca="false">C6&amp;D6</f>
        <v>INSRRC1</v>
      </c>
      <c r="F6" s="82" t="n">
        <v>30.175</v>
      </c>
      <c r="G6" s="59"/>
      <c r="H6" s="85" t="n">
        <v>0.001</v>
      </c>
      <c r="I6" s="86" t="str">
        <f aca="false">$H$2&amp;$H6</f>
        <v>MOBP0.001</v>
      </c>
      <c r="J6" s="87" t="n">
        <f aca="false">VLOOKUP(I6, E:F,2,0)</f>
        <v>32.268</v>
      </c>
      <c r="K6" s="88" t="n">
        <f aca="false">LOG10(H6)</f>
        <v>-3</v>
      </c>
      <c r="L6" s="59"/>
      <c r="M6" s="89" t="s">
        <v>154</v>
      </c>
      <c r="N6" s="88" t="n">
        <f aca="false">INTERCEPT($K$3:$K$6,$J$3:$J$6)</f>
        <v>5.25058527140252</v>
      </c>
    </row>
    <row r="7" customFormat="false" ht="15.75" hidden="false" customHeight="false" outlineLevel="0" collapsed="false">
      <c r="A7" s="80" t="n">
        <v>1</v>
      </c>
      <c r="B7" s="68" t="s">
        <v>90</v>
      </c>
      <c r="C7" s="68" t="s">
        <v>22</v>
      </c>
      <c r="D7" s="68" t="s">
        <v>132</v>
      </c>
      <c r="E7" s="68" t="str">
        <f aca="false">C7&amp;D7</f>
        <v>INSRRC2</v>
      </c>
      <c r="F7" s="82" t="n">
        <v>29.72</v>
      </c>
      <c r="G7" s="59"/>
      <c r="H7" s="59"/>
      <c r="I7" s="59"/>
      <c r="J7" s="59"/>
      <c r="K7" s="72"/>
      <c r="L7" s="59"/>
      <c r="M7" s="59"/>
      <c r="N7" s="72"/>
    </row>
    <row r="8" customFormat="false" ht="15.75" hidden="false" customHeight="false" outlineLevel="0" collapsed="false">
      <c r="A8" s="80" t="n">
        <v>1</v>
      </c>
      <c r="B8" s="68" t="s">
        <v>91</v>
      </c>
      <c r="C8" s="68" t="s">
        <v>22</v>
      </c>
      <c r="D8" s="68" t="s">
        <v>133</v>
      </c>
      <c r="E8" s="68" t="str">
        <f aca="false">C8&amp;D8</f>
        <v>INSRRC3</v>
      </c>
      <c r="F8" s="82" t="n">
        <v>31.24</v>
      </c>
      <c r="G8" s="59"/>
      <c r="H8" s="59"/>
      <c r="I8" s="59"/>
      <c r="J8" s="59"/>
      <c r="K8" s="72"/>
      <c r="L8" s="59"/>
      <c r="M8" s="59"/>
      <c r="N8" s="72"/>
    </row>
    <row r="9" customFormat="false" ht="15.75" hidden="false" customHeight="false" outlineLevel="0" collapsed="false">
      <c r="A9" s="80" t="n">
        <v>1</v>
      </c>
      <c r="B9" s="68" t="s">
        <v>92</v>
      </c>
      <c r="C9" s="68" t="s">
        <v>22</v>
      </c>
      <c r="D9" s="68" t="s">
        <v>105</v>
      </c>
      <c r="E9" s="68" t="str">
        <f aca="false">C9&amp;D9</f>
        <v>INSRRC5</v>
      </c>
      <c r="F9" s="82" t="n">
        <v>31.824</v>
      </c>
      <c r="G9" s="59"/>
      <c r="H9" s="90" t="s">
        <v>130</v>
      </c>
      <c r="I9" s="70"/>
      <c r="J9" s="91" t="s">
        <v>149</v>
      </c>
      <c r="K9" s="92" t="s">
        <v>155</v>
      </c>
      <c r="L9" s="59"/>
      <c r="M9" s="59"/>
      <c r="N9" s="72"/>
    </row>
    <row r="10" customFormat="false" ht="15.75" hidden="false" customHeight="false" outlineLevel="0" collapsed="false">
      <c r="A10" s="80" t="n">
        <v>1</v>
      </c>
      <c r="B10" s="68" t="s">
        <v>93</v>
      </c>
      <c r="C10" s="68" t="s">
        <v>22</v>
      </c>
      <c r="D10" s="68" t="s">
        <v>106</v>
      </c>
      <c r="E10" s="68" t="str">
        <f aca="false">C10&amp;D10</f>
        <v>INSRRC6</v>
      </c>
      <c r="F10" s="82" t="n">
        <v>34.312</v>
      </c>
      <c r="G10" s="59"/>
      <c r="H10" s="73" t="s">
        <v>131</v>
      </c>
      <c r="I10" s="74" t="str">
        <f aca="false">$H$2&amp;$H10</f>
        <v>MOBPC1</v>
      </c>
      <c r="J10" s="93" t="n">
        <f aca="false">VLOOKUP(I10, E:F,2,0)</f>
        <v>23.562</v>
      </c>
      <c r="K10" s="76" t="n">
        <f aca="false">10^(($N$5*J10)+$N$6)</f>
        <v>0.688122310851643</v>
      </c>
      <c r="L10" s="59"/>
      <c r="M10" s="59"/>
      <c r="N10" s="72"/>
    </row>
    <row r="11" customFormat="false" ht="15.75" hidden="false" customHeight="false" outlineLevel="0" collapsed="false">
      <c r="A11" s="80" t="n">
        <v>1</v>
      </c>
      <c r="B11" s="68" t="s">
        <v>94</v>
      </c>
      <c r="C11" s="68" t="s">
        <v>22</v>
      </c>
      <c r="D11" s="68" t="s">
        <v>134</v>
      </c>
      <c r="E11" s="68" t="str">
        <f aca="false">C11&amp;D11</f>
        <v>INSRRC7</v>
      </c>
      <c r="F11" s="82" t="n">
        <v>30.291</v>
      </c>
      <c r="G11" s="59"/>
      <c r="H11" s="80" t="s">
        <v>132</v>
      </c>
      <c r="I11" s="68" t="str">
        <f aca="false">$H$2&amp;$H11</f>
        <v>MOBPC2</v>
      </c>
      <c r="J11" s="67" t="n">
        <f aca="false">VLOOKUP(I11, E:F,2,0)</f>
        <v>24.223</v>
      </c>
      <c r="K11" s="82" t="n">
        <f aca="false">10^(($N$5*J11)+$N$6)</f>
        <v>0.485080157096292</v>
      </c>
      <c r="L11" s="59"/>
      <c r="M11" s="59"/>
      <c r="N11" s="72"/>
    </row>
    <row r="12" customFormat="false" ht="15.75" hidden="false" customHeight="false" outlineLevel="0" collapsed="false">
      <c r="A12" s="80" t="n">
        <v>1</v>
      </c>
      <c r="B12" s="68" t="s">
        <v>95</v>
      </c>
      <c r="C12" s="68" t="s">
        <v>22</v>
      </c>
      <c r="D12" s="68" t="s">
        <v>135</v>
      </c>
      <c r="E12" s="68" t="str">
        <f aca="false">C12&amp;D12</f>
        <v>INSRRC10</v>
      </c>
      <c r="F12" s="82" t="n">
        <v>30.339</v>
      </c>
      <c r="G12" s="59"/>
      <c r="H12" s="80" t="s">
        <v>133</v>
      </c>
      <c r="I12" s="68" t="str">
        <f aca="false">$H$2&amp;$H12</f>
        <v>MOBPC3</v>
      </c>
      <c r="J12" s="67" t="n">
        <f aca="false">VLOOKUP(I12, E:F,2,0)</f>
        <v>23.437</v>
      </c>
      <c r="K12" s="82" t="n">
        <f aca="false">10^(($N$5*J12)+$N$6)</f>
        <v>0.735160225831927</v>
      </c>
      <c r="L12" s="59"/>
      <c r="M12" s="59"/>
      <c r="N12" s="72"/>
    </row>
    <row r="13" customFormat="false" ht="15.75" hidden="false" customHeight="false" outlineLevel="0" collapsed="false">
      <c r="A13" s="80" t="n">
        <v>1</v>
      </c>
      <c r="B13" s="68" t="s">
        <v>96</v>
      </c>
      <c r="C13" s="68" t="s">
        <v>22</v>
      </c>
      <c r="D13" s="68" t="s">
        <v>136</v>
      </c>
      <c r="E13" s="68" t="str">
        <f aca="false">C13&amp;D13</f>
        <v>INSRRC11</v>
      </c>
      <c r="F13" s="82" t="n">
        <v>30.272</v>
      </c>
      <c r="G13" s="59"/>
      <c r="H13" s="80" t="s">
        <v>105</v>
      </c>
      <c r="I13" s="68" t="str">
        <f aca="false">$H$2&amp;$H13</f>
        <v>MOBPC5</v>
      </c>
      <c r="J13" s="67" t="n">
        <f aca="false">VLOOKUP(I13, E:F,2,0)</f>
        <v>24.343</v>
      </c>
      <c r="K13" s="82" t="n">
        <f aca="false">10^(($N$5*J13)+$N$6)</f>
        <v>0.455245645825952</v>
      </c>
      <c r="L13" s="59"/>
      <c r="M13" s="59"/>
      <c r="N13" s="72"/>
    </row>
    <row r="14" customFormat="false" ht="15.75" hidden="false" customHeight="false" outlineLevel="0" collapsed="false">
      <c r="A14" s="80" t="n">
        <v>1</v>
      </c>
      <c r="B14" s="68" t="s">
        <v>97</v>
      </c>
      <c r="C14" s="68" t="s">
        <v>22</v>
      </c>
      <c r="D14" s="68" t="s">
        <v>137</v>
      </c>
      <c r="E14" s="68" t="str">
        <f aca="false">C14&amp;D14</f>
        <v>INSRRC12</v>
      </c>
      <c r="F14" s="82" t="n">
        <v>30.921</v>
      </c>
      <c r="G14" s="59"/>
      <c r="H14" s="80" t="s">
        <v>106</v>
      </c>
      <c r="I14" s="68" t="str">
        <f aca="false">$H$2&amp;$H14</f>
        <v>MOBPC6</v>
      </c>
      <c r="J14" s="67" t="n">
        <f aca="false">VLOOKUP(I14, E:F,2,0)</f>
        <v>26.401</v>
      </c>
      <c r="K14" s="82" t="n">
        <f aca="false">10^(($N$5*J14)+$N$6)</f>
        <v>0.15327085990488</v>
      </c>
      <c r="L14" s="59"/>
      <c r="M14" s="59"/>
      <c r="N14" s="72"/>
    </row>
    <row r="15" customFormat="false" ht="15.75" hidden="false" customHeight="false" outlineLevel="0" collapsed="false">
      <c r="A15" s="80" t="n">
        <v>1</v>
      </c>
      <c r="B15" s="68" t="s">
        <v>98</v>
      </c>
      <c r="C15" s="68" t="s">
        <v>22</v>
      </c>
      <c r="D15" s="68" t="s">
        <v>138</v>
      </c>
      <c r="E15" s="68" t="str">
        <f aca="false">C15&amp;D15</f>
        <v>INSRRV1</v>
      </c>
      <c r="F15" s="82" t="n">
        <v>29.927</v>
      </c>
      <c r="G15" s="59"/>
      <c r="H15" s="80" t="s">
        <v>134</v>
      </c>
      <c r="I15" s="68" t="str">
        <f aca="false">$H$2&amp;$H15</f>
        <v>MOBPC7</v>
      </c>
      <c r="J15" s="67" t="n">
        <f aca="false">VLOOKUP(I15, E:F,2,0)</f>
        <v>23.878</v>
      </c>
      <c r="K15" s="82" t="n">
        <f aca="false">10^(($N$5*J15)+$N$6)</f>
        <v>0.582197950791677</v>
      </c>
      <c r="L15" s="59"/>
      <c r="M15" s="59"/>
      <c r="N15" s="72"/>
    </row>
    <row r="16" customFormat="false" ht="15.75" hidden="false" customHeight="false" outlineLevel="0" collapsed="false">
      <c r="A16" s="80" t="n">
        <v>1</v>
      </c>
      <c r="B16" s="68" t="s">
        <v>99</v>
      </c>
      <c r="C16" s="68" t="s">
        <v>22</v>
      </c>
      <c r="D16" s="68" t="s">
        <v>139</v>
      </c>
      <c r="E16" s="68" t="str">
        <f aca="false">C16&amp;D16</f>
        <v>INSRRV2</v>
      </c>
      <c r="F16" s="82" t="n">
        <v>29.595</v>
      </c>
      <c r="G16" s="59"/>
      <c r="H16" s="80" t="s">
        <v>135</v>
      </c>
      <c r="I16" s="68" t="str">
        <f aca="false">$H$2&amp;$H16</f>
        <v>MOBPC10</v>
      </c>
      <c r="J16" s="67" t="n">
        <f aca="false">VLOOKUP(I16, E:F,2,0)</f>
        <v>23.482</v>
      </c>
      <c r="K16" s="82" t="n">
        <f aca="false">10^(($N$5*J16)+$N$6)</f>
        <v>0.717867201988612</v>
      </c>
      <c r="L16" s="59"/>
      <c r="M16" s="59"/>
      <c r="N16" s="72"/>
    </row>
    <row r="17" customFormat="false" ht="15.75" hidden="false" customHeight="false" outlineLevel="0" collapsed="false">
      <c r="A17" s="80" t="n">
        <v>1</v>
      </c>
      <c r="B17" s="68" t="s">
        <v>100</v>
      </c>
      <c r="C17" s="68" t="s">
        <v>22</v>
      </c>
      <c r="D17" s="68" t="s">
        <v>140</v>
      </c>
      <c r="E17" s="68" t="str">
        <f aca="false">C17&amp;D17</f>
        <v>INSRRV3</v>
      </c>
      <c r="F17" s="82" t="n">
        <v>30.198</v>
      </c>
      <c r="G17" s="59"/>
      <c r="H17" s="80" t="s">
        <v>136</v>
      </c>
      <c r="I17" s="68" t="str">
        <f aca="false">$H$2&amp;$H17</f>
        <v>MOBPC11</v>
      </c>
      <c r="J17" s="67" t="n">
        <f aca="false">VLOOKUP(I17, E:F,2,0)</f>
        <v>24.78</v>
      </c>
      <c r="K17" s="82" t="n">
        <f aca="false">10^(($N$5*J17)+$N$6)</f>
        <v>0.361287881352899</v>
      </c>
      <c r="L17" s="59"/>
      <c r="M17" s="59"/>
      <c r="N17" s="72"/>
    </row>
    <row r="18" customFormat="false" ht="15.75" hidden="false" customHeight="false" outlineLevel="0" collapsed="false">
      <c r="A18" s="80" t="n">
        <v>1</v>
      </c>
      <c r="B18" s="68" t="s">
        <v>101</v>
      </c>
      <c r="C18" s="68" t="s">
        <v>22</v>
      </c>
      <c r="D18" s="68" t="s">
        <v>141</v>
      </c>
      <c r="E18" s="68" t="str">
        <f aca="false">C18&amp;D18</f>
        <v>INSRRV4</v>
      </c>
      <c r="F18" s="82" t="n">
        <v>30.583</v>
      </c>
      <c r="G18" s="59"/>
      <c r="H18" s="80" t="s">
        <v>137</v>
      </c>
      <c r="I18" s="68" t="str">
        <f aca="false">$H$2&amp;$H18</f>
        <v>MOBPC12</v>
      </c>
      <c r="J18" s="67" t="n">
        <f aca="false">VLOOKUP(I18, E:F,2,0)</f>
        <v>23.611</v>
      </c>
      <c r="K18" s="82" t="n">
        <f aca="false">10^(($N$5*J18)+$N$6)</f>
        <v>0.670515504602172</v>
      </c>
      <c r="L18" s="59"/>
      <c r="M18" s="59"/>
      <c r="N18" s="72"/>
    </row>
    <row r="19" customFormat="false" ht="15.75" hidden="false" customHeight="false" outlineLevel="0" collapsed="false">
      <c r="A19" s="80" t="n">
        <v>1</v>
      </c>
      <c r="B19" s="68" t="s">
        <v>102</v>
      </c>
      <c r="C19" s="68" t="s">
        <v>22</v>
      </c>
      <c r="D19" s="68" t="s">
        <v>142</v>
      </c>
      <c r="E19" s="68" t="str">
        <f aca="false">C19&amp;D19</f>
        <v>INSRRV5</v>
      </c>
      <c r="F19" s="82" t="n">
        <v>29.432</v>
      </c>
      <c r="G19" s="59"/>
      <c r="H19" s="80" t="s">
        <v>138</v>
      </c>
      <c r="I19" s="68" t="str">
        <f aca="false">$H$2&amp;$H19</f>
        <v>MOBPV1</v>
      </c>
      <c r="J19" s="67" t="n">
        <f aca="false">VLOOKUP(I19, E:F,2,0)</f>
        <v>24.262</v>
      </c>
      <c r="K19" s="82" t="n">
        <f aca="false">10^(($N$5*J19)+$N$6)</f>
        <v>0.475175460392395</v>
      </c>
      <c r="L19" s="59"/>
      <c r="M19" s="59"/>
      <c r="N19" s="72"/>
    </row>
    <row r="20" customFormat="false" ht="15.75" hidden="false" customHeight="false" outlineLevel="0" collapsed="false">
      <c r="A20" s="80" t="n">
        <v>1</v>
      </c>
      <c r="B20" s="68" t="s">
        <v>103</v>
      </c>
      <c r="C20" s="68" t="s">
        <v>22</v>
      </c>
      <c r="D20" s="68" t="s">
        <v>143</v>
      </c>
      <c r="E20" s="68" t="str">
        <f aca="false">C20&amp;D20</f>
        <v>INSRRV7</v>
      </c>
      <c r="F20" s="82" t="n">
        <v>29.405</v>
      </c>
      <c r="G20" s="59"/>
      <c r="H20" s="80" t="s">
        <v>139</v>
      </c>
      <c r="I20" s="68" t="str">
        <f aca="false">$H$2&amp;$H20</f>
        <v>MOBPV2</v>
      </c>
      <c r="J20" s="67" t="n">
        <f aca="false">VLOOKUP(I20, E:F,2,0)</f>
        <v>25.228</v>
      </c>
      <c r="K20" s="82" t="n">
        <f aca="false">10^(($N$5*J20)+$N$6)</f>
        <v>0.285058468775331</v>
      </c>
      <c r="L20" s="59"/>
      <c r="M20" s="59"/>
      <c r="N20" s="72"/>
    </row>
    <row r="21" customFormat="false" ht="15.75" hidden="false" customHeight="false" outlineLevel="0" collapsed="false">
      <c r="A21" s="80" t="n">
        <v>1</v>
      </c>
      <c r="B21" s="68" t="s">
        <v>104</v>
      </c>
      <c r="C21" s="68" t="s">
        <v>22</v>
      </c>
      <c r="D21" s="68" t="s">
        <v>144</v>
      </c>
      <c r="E21" s="68" t="str">
        <f aca="false">C21&amp;D21</f>
        <v>INSRRV8</v>
      </c>
      <c r="F21" s="82" t="n">
        <v>30.904</v>
      </c>
      <c r="G21" s="59"/>
      <c r="H21" s="80" t="s">
        <v>140</v>
      </c>
      <c r="I21" s="68" t="str">
        <f aca="false">$H$2&amp;$H21</f>
        <v>MOBPV3</v>
      </c>
      <c r="J21" s="67" t="n">
        <f aca="false">VLOOKUP(I21, E:F,2,0)</f>
        <v>24.565</v>
      </c>
      <c r="K21" s="82" t="n">
        <f aca="false">10^(($N$5*J21)+$N$6)</f>
        <v>0.40480469354736</v>
      </c>
      <c r="L21" s="59"/>
      <c r="M21" s="59"/>
      <c r="N21" s="72"/>
    </row>
    <row r="22" customFormat="false" ht="15.75" hidden="false" customHeight="false" outlineLevel="0" collapsed="false">
      <c r="A22" s="80" t="n">
        <v>1</v>
      </c>
      <c r="B22" s="68" t="s">
        <v>105</v>
      </c>
      <c r="C22" s="68" t="s">
        <v>22</v>
      </c>
      <c r="D22" s="68" t="s">
        <v>145</v>
      </c>
      <c r="E22" s="68" t="str">
        <f aca="false">C22&amp;D22</f>
        <v>INSRRV10</v>
      </c>
      <c r="F22" s="82" t="n">
        <v>31.562</v>
      </c>
      <c r="G22" s="59"/>
      <c r="H22" s="80" t="s">
        <v>141</v>
      </c>
      <c r="I22" s="68" t="str">
        <f aca="false">$H$2&amp;$H22</f>
        <v>MOBPV4</v>
      </c>
      <c r="J22" s="67" t="n">
        <f aca="false">VLOOKUP(I22, E:F,2,0)</f>
        <v>24.47</v>
      </c>
      <c r="K22" s="82" t="n">
        <f aca="false">10^(($N$5*J22)+$N$6)</f>
        <v>0.425666993010168</v>
      </c>
      <c r="L22" s="59"/>
      <c r="M22" s="59"/>
      <c r="N22" s="72"/>
    </row>
    <row r="23" customFormat="false" ht="15.75" hidden="false" customHeight="false" outlineLevel="0" collapsed="false">
      <c r="A23" s="80" t="n">
        <v>1</v>
      </c>
      <c r="B23" s="68" t="s">
        <v>106</v>
      </c>
      <c r="C23" s="68" t="s">
        <v>22</v>
      </c>
      <c r="D23" s="68" t="s">
        <v>146</v>
      </c>
      <c r="E23" s="68" t="str">
        <f aca="false">C23&amp;D23</f>
        <v>INSRRV12</v>
      </c>
      <c r="F23" s="82" t="n">
        <v>31.641</v>
      </c>
      <c r="G23" s="59"/>
      <c r="H23" s="80" t="s">
        <v>142</v>
      </c>
      <c r="I23" s="68" t="str">
        <f aca="false">$H$2&amp;$H23</f>
        <v>MOBPV5</v>
      </c>
      <c r="J23" s="67" t="n">
        <f aca="false">VLOOKUP(I23, E:F,2,0)</f>
        <v>24.17</v>
      </c>
      <c r="K23" s="82" t="n">
        <f aca="false">10^(($N$5*J23)+$N$6)</f>
        <v>0.498872136097859</v>
      </c>
      <c r="L23" s="59"/>
      <c r="M23" s="59"/>
      <c r="N23" s="72"/>
    </row>
    <row r="24" customFormat="false" ht="15.75" hidden="false" customHeight="false" outlineLevel="0" collapsed="false">
      <c r="A24" s="80" t="n">
        <v>1</v>
      </c>
      <c r="B24" s="68" t="s">
        <v>107</v>
      </c>
      <c r="C24" s="68" t="s">
        <v>32</v>
      </c>
      <c r="D24" s="81" t="n">
        <v>1</v>
      </c>
      <c r="E24" s="68" t="str">
        <f aca="false">C24&amp;D24</f>
        <v>GAPDH1</v>
      </c>
      <c r="F24" s="82" t="n">
        <v>14.971</v>
      </c>
      <c r="G24" s="59"/>
      <c r="H24" s="80" t="s">
        <v>143</v>
      </c>
      <c r="I24" s="68" t="str">
        <f aca="false">$H$2&amp;$H24</f>
        <v>MOBPV7</v>
      </c>
      <c r="J24" s="67" t="n">
        <f aca="false">VLOOKUP(I24, E:F,2,0)</f>
        <v>24.802</v>
      </c>
      <c r="K24" s="82" t="n">
        <f aca="false">10^(($N$5*J24)+$N$6)</f>
        <v>0.357107782022612</v>
      </c>
      <c r="L24" s="59"/>
      <c r="M24" s="59"/>
      <c r="N24" s="72"/>
    </row>
    <row r="25" customFormat="false" ht="15.75" hidden="false" customHeight="false" outlineLevel="0" collapsed="false">
      <c r="A25" s="80" t="n">
        <v>1</v>
      </c>
      <c r="B25" s="68" t="s">
        <v>108</v>
      </c>
      <c r="C25" s="68" t="s">
        <v>32</v>
      </c>
      <c r="D25" s="81" t="n">
        <v>0.1</v>
      </c>
      <c r="E25" s="68" t="str">
        <f aca="false">C25&amp;D25</f>
        <v>GAPDH0.1</v>
      </c>
      <c r="F25" s="82" t="n">
        <v>17.753</v>
      </c>
      <c r="G25" s="59"/>
      <c r="H25" s="80" t="s">
        <v>144</v>
      </c>
      <c r="I25" s="68" t="str">
        <f aca="false">$H$2&amp;$H25</f>
        <v>MOBPV8</v>
      </c>
      <c r="J25" s="67" t="n">
        <f aca="false">VLOOKUP(I25, E:F,2,0)</f>
        <v>23.936</v>
      </c>
      <c r="K25" s="82" t="n">
        <f aca="false">10^(($N$5*J25)+$N$6)</f>
        <v>0.564607028140738</v>
      </c>
      <c r="L25" s="59"/>
      <c r="M25" s="59"/>
      <c r="N25" s="72"/>
    </row>
    <row r="26" customFormat="false" ht="15.75" hidden="false" customHeight="false" outlineLevel="0" collapsed="false">
      <c r="A26" s="80" t="n">
        <v>1</v>
      </c>
      <c r="B26" s="68" t="s">
        <v>109</v>
      </c>
      <c r="C26" s="68" t="s">
        <v>32</v>
      </c>
      <c r="D26" s="81" t="n">
        <v>0.01</v>
      </c>
      <c r="E26" s="68" t="str">
        <f aca="false">C26&amp;D26</f>
        <v>GAPDH0.01</v>
      </c>
      <c r="F26" s="82" t="n">
        <v>21.139</v>
      </c>
      <c r="G26" s="59"/>
      <c r="H26" s="80" t="s">
        <v>145</v>
      </c>
      <c r="I26" s="68" t="str">
        <f aca="false">$H$2&amp;$H26</f>
        <v>MOBPV10</v>
      </c>
      <c r="J26" s="67" t="n">
        <f aca="false">VLOOKUP(I26, E:F,2,0)</f>
        <v>24.336</v>
      </c>
      <c r="K26" s="82" t="n">
        <f aca="false">10^(($N$5*J26)+$N$6)</f>
        <v>0.456934465435299</v>
      </c>
      <c r="L26" s="59"/>
      <c r="M26" s="59"/>
      <c r="N26" s="72"/>
    </row>
    <row r="27" customFormat="false" ht="15.75" hidden="false" customHeight="false" outlineLevel="0" collapsed="false">
      <c r="A27" s="80" t="n">
        <v>1</v>
      </c>
      <c r="B27" s="68" t="s">
        <v>110</v>
      </c>
      <c r="C27" s="68" t="s">
        <v>32</v>
      </c>
      <c r="D27" s="84" t="n">
        <v>0.001</v>
      </c>
      <c r="E27" s="68" t="str">
        <f aca="false">C27&amp;D27</f>
        <v>GAPDH0.001</v>
      </c>
      <c r="F27" s="82" t="n">
        <v>24.767</v>
      </c>
      <c r="G27" s="59"/>
      <c r="H27" s="89" t="s">
        <v>146</v>
      </c>
      <c r="I27" s="86" t="str">
        <f aca="false">$H$2&amp;$H27</f>
        <v>MOBPV12</v>
      </c>
      <c r="J27" s="87" t="n">
        <f aca="false">VLOOKUP(I27, E:F,2,0)</f>
        <v>25.432</v>
      </c>
      <c r="K27" s="88" t="n">
        <f aca="false">10^(($N$5*J27)+$N$6)</f>
        <v>0.255899149750489</v>
      </c>
      <c r="L27" s="59"/>
      <c r="M27" s="59"/>
      <c r="N27" s="72"/>
    </row>
    <row r="28" customFormat="false" ht="15.75" hidden="false" customHeight="false" outlineLevel="0" collapsed="false">
      <c r="A28" s="80" t="n">
        <v>1</v>
      </c>
      <c r="B28" s="68" t="s">
        <v>111</v>
      </c>
      <c r="C28" s="68" t="s">
        <v>32</v>
      </c>
      <c r="D28" s="68" t="s">
        <v>131</v>
      </c>
      <c r="E28" s="68" t="str">
        <f aca="false">C28&amp;D28</f>
        <v>GAPDHC1</v>
      </c>
      <c r="F28" s="82" t="n">
        <v>14.676</v>
      </c>
      <c r="G28" s="59"/>
      <c r="H28" s="59"/>
      <c r="I28" s="59"/>
      <c r="J28" s="59"/>
      <c r="K28" s="72"/>
      <c r="L28" s="59"/>
      <c r="M28" s="59"/>
      <c r="N28" s="72"/>
    </row>
    <row r="29" customFormat="false" ht="15.75" hidden="false" customHeight="false" outlineLevel="0" collapsed="false">
      <c r="A29" s="80" t="n">
        <v>1</v>
      </c>
      <c r="B29" s="68" t="s">
        <v>112</v>
      </c>
      <c r="C29" s="68" t="s">
        <v>32</v>
      </c>
      <c r="D29" s="68" t="s">
        <v>132</v>
      </c>
      <c r="E29" s="68" t="str">
        <f aca="false">C29&amp;D29</f>
        <v>GAPDHC2</v>
      </c>
      <c r="F29" s="82" t="n">
        <v>14.882</v>
      </c>
      <c r="G29" s="59"/>
      <c r="H29" s="59"/>
      <c r="I29" s="59"/>
      <c r="J29" s="59"/>
      <c r="K29" s="72"/>
      <c r="L29" s="59"/>
      <c r="M29" s="59"/>
      <c r="N29" s="72"/>
    </row>
    <row r="30" customFormat="false" ht="15.75" hidden="false" customHeight="false" outlineLevel="0" collapsed="false">
      <c r="A30" s="80" t="n">
        <v>1</v>
      </c>
      <c r="B30" s="68" t="s">
        <v>113</v>
      </c>
      <c r="C30" s="68" t="s">
        <v>32</v>
      </c>
      <c r="D30" s="68" t="s">
        <v>133</v>
      </c>
      <c r="E30" s="68" t="str">
        <f aca="false">C30&amp;D30</f>
        <v>GAPDHC3</v>
      </c>
      <c r="F30" s="82" t="n">
        <v>15.27</v>
      </c>
      <c r="G30" s="59"/>
      <c r="H30" s="59"/>
      <c r="I30" s="59"/>
      <c r="J30" s="59"/>
      <c r="K30" s="72"/>
      <c r="L30" s="59"/>
      <c r="M30" s="59"/>
      <c r="N30" s="72"/>
    </row>
    <row r="31" customFormat="false" ht="15.75" hidden="false" customHeight="false" outlineLevel="0" collapsed="false">
      <c r="A31" s="80" t="n">
        <v>1</v>
      </c>
      <c r="B31" s="68" t="s">
        <v>114</v>
      </c>
      <c r="C31" s="68" t="s">
        <v>32</v>
      </c>
      <c r="D31" s="68" t="s">
        <v>105</v>
      </c>
      <c r="E31" s="68" t="str">
        <f aca="false">C31&amp;D31</f>
        <v>GAPDHC5</v>
      </c>
      <c r="F31" s="82" t="n">
        <v>16.283</v>
      </c>
      <c r="G31" s="59"/>
      <c r="H31" s="59"/>
      <c r="I31" s="59"/>
      <c r="J31" s="59"/>
      <c r="K31" s="72"/>
      <c r="L31" s="59"/>
      <c r="M31" s="59"/>
      <c r="N31" s="72"/>
    </row>
    <row r="32" customFormat="false" ht="15.75" hidden="false" customHeight="false" outlineLevel="0" collapsed="false">
      <c r="A32" s="80" t="n">
        <v>1</v>
      </c>
      <c r="B32" s="68" t="s">
        <v>115</v>
      </c>
      <c r="C32" s="68" t="s">
        <v>32</v>
      </c>
      <c r="D32" s="68" t="s">
        <v>106</v>
      </c>
      <c r="E32" s="68" t="str">
        <f aca="false">C32&amp;D32</f>
        <v>GAPDHC6</v>
      </c>
      <c r="F32" s="82" t="n">
        <v>17.638</v>
      </c>
      <c r="G32" s="59"/>
      <c r="H32" s="59"/>
      <c r="I32" s="59"/>
      <c r="J32" s="59"/>
      <c r="K32" s="72"/>
      <c r="L32" s="59"/>
      <c r="M32" s="59"/>
      <c r="N32" s="72"/>
    </row>
    <row r="33" customFormat="false" ht="15.75" hidden="false" customHeight="false" outlineLevel="0" collapsed="false">
      <c r="A33" s="80" t="n">
        <v>1</v>
      </c>
      <c r="B33" s="68" t="s">
        <v>116</v>
      </c>
      <c r="C33" s="68" t="s">
        <v>32</v>
      </c>
      <c r="D33" s="68" t="s">
        <v>134</v>
      </c>
      <c r="E33" s="68" t="str">
        <f aca="false">C33&amp;D33</f>
        <v>GAPDHC7</v>
      </c>
      <c r="F33" s="82" t="n">
        <v>15.266</v>
      </c>
      <c r="G33" s="59"/>
      <c r="H33" s="59"/>
      <c r="I33" s="59"/>
      <c r="J33" s="59"/>
      <c r="K33" s="72"/>
      <c r="L33" s="59"/>
      <c r="M33" s="59"/>
      <c r="N33" s="72"/>
    </row>
    <row r="34" customFormat="false" ht="15.75" hidden="false" customHeight="false" outlineLevel="0" collapsed="false">
      <c r="A34" s="80" t="n">
        <v>1</v>
      </c>
      <c r="B34" s="68" t="s">
        <v>117</v>
      </c>
      <c r="C34" s="68" t="s">
        <v>32</v>
      </c>
      <c r="D34" s="68" t="s">
        <v>135</v>
      </c>
      <c r="E34" s="68" t="str">
        <f aca="false">C34&amp;D34</f>
        <v>GAPDHC10</v>
      </c>
      <c r="F34" s="82" t="n">
        <v>15.648</v>
      </c>
      <c r="G34" s="59"/>
      <c r="H34" s="59"/>
      <c r="I34" s="59"/>
      <c r="J34" s="59"/>
      <c r="K34" s="72"/>
      <c r="L34" s="59"/>
      <c r="M34" s="59"/>
      <c r="N34" s="72"/>
    </row>
    <row r="35" customFormat="false" ht="15.75" hidden="false" customHeight="false" outlineLevel="0" collapsed="false">
      <c r="A35" s="80" t="n">
        <v>1</v>
      </c>
      <c r="B35" s="68" t="s">
        <v>118</v>
      </c>
      <c r="C35" s="68" t="s">
        <v>32</v>
      </c>
      <c r="D35" s="68" t="s">
        <v>136</v>
      </c>
      <c r="E35" s="68" t="str">
        <f aca="false">C35&amp;D35</f>
        <v>GAPDHC11</v>
      </c>
      <c r="F35" s="82" t="n">
        <v>15.767</v>
      </c>
      <c r="G35" s="59"/>
      <c r="H35" s="59"/>
      <c r="I35" s="59"/>
      <c r="J35" s="59"/>
      <c r="K35" s="72"/>
      <c r="L35" s="59"/>
      <c r="M35" s="59"/>
      <c r="N35" s="72"/>
    </row>
    <row r="36" customFormat="false" ht="15.75" hidden="false" customHeight="false" outlineLevel="0" collapsed="false">
      <c r="A36" s="80" t="n">
        <v>1</v>
      </c>
      <c r="B36" s="68" t="s">
        <v>119</v>
      </c>
      <c r="C36" s="68" t="s">
        <v>32</v>
      </c>
      <c r="D36" s="68" t="s">
        <v>137</v>
      </c>
      <c r="E36" s="68" t="str">
        <f aca="false">C36&amp;D36</f>
        <v>GAPDHC12</v>
      </c>
      <c r="F36" s="82" t="n">
        <v>15.655</v>
      </c>
      <c r="G36" s="59"/>
      <c r="H36" s="59"/>
      <c r="I36" s="59"/>
      <c r="J36" s="59"/>
      <c r="K36" s="72"/>
      <c r="L36" s="59"/>
      <c r="M36" s="59"/>
      <c r="N36" s="72"/>
    </row>
    <row r="37" customFormat="false" ht="15.75" hidden="false" customHeight="false" outlineLevel="0" collapsed="false">
      <c r="A37" s="80" t="n">
        <v>1</v>
      </c>
      <c r="B37" s="68" t="s">
        <v>120</v>
      </c>
      <c r="C37" s="68" t="s">
        <v>32</v>
      </c>
      <c r="D37" s="68" t="s">
        <v>138</v>
      </c>
      <c r="E37" s="68" t="str">
        <f aca="false">C37&amp;D37</f>
        <v>GAPDHV1</v>
      </c>
      <c r="F37" s="82" t="n">
        <v>15.853</v>
      </c>
      <c r="G37" s="59"/>
      <c r="H37" s="59"/>
      <c r="I37" s="59"/>
      <c r="J37" s="59"/>
      <c r="K37" s="72"/>
      <c r="L37" s="59"/>
      <c r="M37" s="59"/>
      <c r="N37" s="72"/>
    </row>
    <row r="38" customFormat="false" ht="15.75" hidden="false" customHeight="false" outlineLevel="0" collapsed="false">
      <c r="A38" s="80" t="n">
        <v>1</v>
      </c>
      <c r="B38" s="68" t="s">
        <v>121</v>
      </c>
      <c r="C38" s="68" t="s">
        <v>32</v>
      </c>
      <c r="D38" s="68" t="s">
        <v>139</v>
      </c>
      <c r="E38" s="68" t="str">
        <f aca="false">C38&amp;D38</f>
        <v>GAPDHV2</v>
      </c>
      <c r="F38" s="82" t="n">
        <v>15.43</v>
      </c>
      <c r="G38" s="59"/>
      <c r="H38" s="59"/>
      <c r="I38" s="59"/>
      <c r="J38" s="59"/>
      <c r="K38" s="72"/>
      <c r="L38" s="59"/>
      <c r="M38" s="59"/>
      <c r="N38" s="72"/>
    </row>
    <row r="39" customFormat="false" ht="15.75" hidden="false" customHeight="false" outlineLevel="0" collapsed="false">
      <c r="A39" s="80" t="n">
        <v>1</v>
      </c>
      <c r="B39" s="68" t="s">
        <v>122</v>
      </c>
      <c r="C39" s="68" t="s">
        <v>32</v>
      </c>
      <c r="D39" s="68" t="s">
        <v>140</v>
      </c>
      <c r="E39" s="68" t="str">
        <f aca="false">C39&amp;D39</f>
        <v>GAPDHV3</v>
      </c>
      <c r="F39" s="82" t="n">
        <v>15.741</v>
      </c>
      <c r="G39" s="59"/>
      <c r="H39" s="59"/>
      <c r="I39" s="59"/>
      <c r="J39" s="59"/>
      <c r="K39" s="72"/>
      <c r="L39" s="59"/>
      <c r="M39" s="59"/>
      <c r="N39" s="72"/>
    </row>
    <row r="40" customFormat="false" ht="15.75" hidden="false" customHeight="false" outlineLevel="0" collapsed="false">
      <c r="A40" s="80" t="n">
        <v>1</v>
      </c>
      <c r="B40" s="68" t="s">
        <v>123</v>
      </c>
      <c r="C40" s="68" t="s">
        <v>32</v>
      </c>
      <c r="D40" s="68" t="s">
        <v>141</v>
      </c>
      <c r="E40" s="68" t="str">
        <f aca="false">C40&amp;D40</f>
        <v>GAPDHV4</v>
      </c>
      <c r="F40" s="82" t="n">
        <v>15.491</v>
      </c>
      <c r="G40" s="59"/>
      <c r="H40" s="59"/>
      <c r="I40" s="59"/>
      <c r="J40" s="59"/>
      <c r="K40" s="72"/>
      <c r="L40" s="59"/>
      <c r="M40" s="59"/>
      <c r="N40" s="72"/>
    </row>
    <row r="41" customFormat="false" ht="15.75" hidden="false" customHeight="false" outlineLevel="0" collapsed="false">
      <c r="A41" s="80" t="n">
        <v>1</v>
      </c>
      <c r="B41" s="68" t="s">
        <v>124</v>
      </c>
      <c r="C41" s="68" t="s">
        <v>32</v>
      </c>
      <c r="D41" s="68" t="s">
        <v>142</v>
      </c>
      <c r="E41" s="68" t="str">
        <f aca="false">C41&amp;D41</f>
        <v>GAPDHV5</v>
      </c>
      <c r="F41" s="82" t="n">
        <v>14.508</v>
      </c>
      <c r="G41" s="59"/>
      <c r="H41" s="59"/>
      <c r="I41" s="59"/>
      <c r="J41" s="59"/>
      <c r="K41" s="72"/>
      <c r="L41" s="59"/>
      <c r="M41" s="59"/>
      <c r="N41" s="72"/>
    </row>
    <row r="42" customFormat="false" ht="15.75" hidden="false" customHeight="false" outlineLevel="0" collapsed="false">
      <c r="A42" s="80" t="n">
        <v>1</v>
      </c>
      <c r="B42" s="68" t="s">
        <v>125</v>
      </c>
      <c r="C42" s="68" t="s">
        <v>32</v>
      </c>
      <c r="D42" s="68" t="s">
        <v>143</v>
      </c>
      <c r="E42" s="68" t="str">
        <f aca="false">C42&amp;D42</f>
        <v>GAPDHV7</v>
      </c>
      <c r="F42" s="82" t="n">
        <v>15.261</v>
      </c>
      <c r="G42" s="59"/>
      <c r="H42" s="59"/>
      <c r="I42" s="59"/>
      <c r="J42" s="59"/>
      <c r="K42" s="72"/>
      <c r="L42" s="59"/>
      <c r="M42" s="59"/>
      <c r="N42" s="72"/>
    </row>
    <row r="43" customFormat="false" ht="15.75" hidden="false" customHeight="false" outlineLevel="0" collapsed="false">
      <c r="A43" s="80" t="n">
        <v>1</v>
      </c>
      <c r="B43" s="68" t="s">
        <v>126</v>
      </c>
      <c r="C43" s="68" t="s">
        <v>32</v>
      </c>
      <c r="D43" s="68" t="s">
        <v>144</v>
      </c>
      <c r="E43" s="68" t="str">
        <f aca="false">C43&amp;D43</f>
        <v>GAPDHV8</v>
      </c>
      <c r="F43" s="82" t="n">
        <v>15.571</v>
      </c>
      <c r="G43" s="59"/>
      <c r="H43" s="59"/>
      <c r="I43" s="59"/>
      <c r="J43" s="59"/>
      <c r="K43" s="72"/>
      <c r="L43" s="59"/>
      <c r="M43" s="59"/>
      <c r="N43" s="72"/>
    </row>
    <row r="44" customFormat="false" ht="15.75" hidden="false" customHeight="false" outlineLevel="0" collapsed="false">
      <c r="A44" s="80" t="n">
        <v>1</v>
      </c>
      <c r="B44" s="68" t="s">
        <v>127</v>
      </c>
      <c r="C44" s="68" t="s">
        <v>32</v>
      </c>
      <c r="D44" s="68" t="s">
        <v>145</v>
      </c>
      <c r="E44" s="68" t="str">
        <f aca="false">C44&amp;D44</f>
        <v>GAPDHV10</v>
      </c>
      <c r="F44" s="82" t="n">
        <v>16.341</v>
      </c>
      <c r="G44" s="59"/>
      <c r="H44" s="59"/>
      <c r="I44" s="59"/>
      <c r="J44" s="59"/>
      <c r="K44" s="72"/>
      <c r="L44" s="59"/>
      <c r="M44" s="59"/>
      <c r="N44" s="72"/>
    </row>
    <row r="45" customFormat="false" ht="15.75" hidden="false" customHeight="false" outlineLevel="0" collapsed="false">
      <c r="A45" s="80" t="n">
        <v>1</v>
      </c>
      <c r="B45" s="68" t="s">
        <v>128</v>
      </c>
      <c r="C45" s="68" t="s">
        <v>32</v>
      </c>
      <c r="D45" s="68" t="s">
        <v>146</v>
      </c>
      <c r="E45" s="68" t="str">
        <f aca="false">C45&amp;D45</f>
        <v>GAPDHV12</v>
      </c>
      <c r="F45" s="82" t="n">
        <v>16.238</v>
      </c>
      <c r="G45" s="59"/>
      <c r="H45" s="59"/>
      <c r="I45" s="59"/>
      <c r="J45" s="59"/>
      <c r="K45" s="72"/>
      <c r="L45" s="59"/>
      <c r="M45" s="59"/>
      <c r="N45" s="72"/>
    </row>
    <row r="46" customFormat="false" ht="15.75" hidden="false" customHeight="false" outlineLevel="0" collapsed="false">
      <c r="A46" s="80" t="n">
        <v>2</v>
      </c>
      <c r="B46" s="68" t="s">
        <v>80</v>
      </c>
      <c r="C46" s="68" t="s">
        <v>33</v>
      </c>
      <c r="D46" s="81" t="n">
        <v>1</v>
      </c>
      <c r="E46" s="68" t="str">
        <f aca="false">C46&amp;D46</f>
        <v>IGF21</v>
      </c>
      <c r="F46" s="82" t="n">
        <v>22.055</v>
      </c>
      <c r="G46" s="59"/>
      <c r="H46" s="59"/>
      <c r="I46" s="59"/>
      <c r="J46" s="59"/>
      <c r="K46" s="72"/>
      <c r="L46" s="59"/>
      <c r="M46" s="59"/>
      <c r="N46" s="72"/>
    </row>
    <row r="47" customFormat="false" ht="15.75" hidden="false" customHeight="false" outlineLevel="0" collapsed="false">
      <c r="A47" s="80" t="n">
        <v>2</v>
      </c>
      <c r="B47" s="68" t="s">
        <v>85</v>
      </c>
      <c r="C47" s="68" t="s">
        <v>33</v>
      </c>
      <c r="D47" s="81" t="n">
        <v>0.1</v>
      </c>
      <c r="E47" s="68" t="str">
        <f aca="false">C47&amp;D47</f>
        <v>IGF20.1</v>
      </c>
      <c r="F47" s="82" t="n">
        <v>25.117</v>
      </c>
      <c r="G47" s="59"/>
      <c r="H47" s="59"/>
      <c r="I47" s="59"/>
      <c r="J47" s="59"/>
      <c r="K47" s="72"/>
      <c r="L47" s="59"/>
      <c r="M47" s="59"/>
      <c r="N47" s="72"/>
    </row>
    <row r="48" customFormat="false" ht="15.75" hidden="false" customHeight="false" outlineLevel="0" collapsed="false">
      <c r="A48" s="80" t="n">
        <v>2</v>
      </c>
      <c r="B48" s="68" t="s">
        <v>86</v>
      </c>
      <c r="C48" s="68" t="s">
        <v>33</v>
      </c>
      <c r="D48" s="81" t="n">
        <v>0.01</v>
      </c>
      <c r="E48" s="68" t="str">
        <f aca="false">C48&amp;D48</f>
        <v>IGF20.01</v>
      </c>
      <c r="F48" s="82" t="n">
        <v>28.621</v>
      </c>
      <c r="G48" s="59"/>
      <c r="H48" s="59"/>
      <c r="I48" s="59"/>
      <c r="J48" s="59"/>
      <c r="K48" s="72"/>
      <c r="L48" s="59"/>
      <c r="M48" s="59"/>
      <c r="N48" s="72"/>
    </row>
    <row r="49" customFormat="false" ht="15.75" hidden="false" customHeight="false" outlineLevel="0" collapsed="false">
      <c r="A49" s="80" t="n">
        <v>2</v>
      </c>
      <c r="B49" s="68" t="s">
        <v>87</v>
      </c>
      <c r="C49" s="68" t="s">
        <v>33</v>
      </c>
      <c r="D49" s="84" t="n">
        <v>0.001</v>
      </c>
      <c r="E49" s="68" t="str">
        <f aca="false">C49&amp;D49</f>
        <v>IGF20.001</v>
      </c>
      <c r="F49" s="82" t="n">
        <v>32.079</v>
      </c>
      <c r="G49" s="59"/>
      <c r="H49" s="59"/>
      <c r="I49" s="59"/>
      <c r="J49" s="59"/>
      <c r="K49" s="72"/>
      <c r="L49" s="59"/>
      <c r="M49" s="59"/>
      <c r="N49" s="72"/>
    </row>
    <row r="50" customFormat="false" ht="15.75" hidden="false" customHeight="false" outlineLevel="0" collapsed="false">
      <c r="A50" s="80" t="n">
        <v>2</v>
      </c>
      <c r="B50" s="68" t="s">
        <v>89</v>
      </c>
      <c r="C50" s="68" t="s">
        <v>33</v>
      </c>
      <c r="D50" s="68" t="s">
        <v>131</v>
      </c>
      <c r="E50" s="68" t="str">
        <f aca="false">C50&amp;D50</f>
        <v>IGF2C1</v>
      </c>
      <c r="F50" s="82" t="n">
        <v>22.983</v>
      </c>
      <c r="G50" s="59"/>
      <c r="H50" s="59"/>
      <c r="I50" s="59"/>
      <c r="J50" s="59"/>
      <c r="K50" s="72"/>
      <c r="L50" s="59"/>
      <c r="M50" s="59"/>
      <c r="N50" s="72"/>
    </row>
    <row r="51" customFormat="false" ht="15.75" hidden="false" customHeight="false" outlineLevel="0" collapsed="false">
      <c r="A51" s="80" t="n">
        <v>2</v>
      </c>
      <c r="B51" s="68" t="s">
        <v>90</v>
      </c>
      <c r="C51" s="68" t="s">
        <v>33</v>
      </c>
      <c r="D51" s="68" t="s">
        <v>132</v>
      </c>
      <c r="E51" s="68" t="str">
        <f aca="false">C51&amp;D51</f>
        <v>IGF2C2</v>
      </c>
      <c r="F51" s="82" t="n">
        <v>22.133</v>
      </c>
      <c r="G51" s="59"/>
      <c r="H51" s="59"/>
      <c r="I51" s="59"/>
      <c r="J51" s="59"/>
      <c r="K51" s="72"/>
      <c r="L51" s="59"/>
      <c r="M51" s="59"/>
      <c r="N51" s="72"/>
    </row>
    <row r="52" customFormat="false" ht="15.75" hidden="false" customHeight="false" outlineLevel="0" collapsed="false">
      <c r="A52" s="80" t="n">
        <v>2</v>
      </c>
      <c r="B52" s="68" t="s">
        <v>91</v>
      </c>
      <c r="C52" s="68" t="s">
        <v>33</v>
      </c>
      <c r="D52" s="68" t="s">
        <v>133</v>
      </c>
      <c r="E52" s="68" t="str">
        <f aca="false">C52&amp;D52</f>
        <v>IGF2C3</v>
      </c>
      <c r="F52" s="82" t="n">
        <v>22.973</v>
      </c>
      <c r="G52" s="59"/>
      <c r="H52" s="59"/>
      <c r="I52" s="59"/>
      <c r="J52" s="59"/>
      <c r="K52" s="72"/>
      <c r="L52" s="59"/>
      <c r="M52" s="59"/>
      <c r="N52" s="72"/>
    </row>
    <row r="53" customFormat="false" ht="15.75" hidden="false" customHeight="false" outlineLevel="0" collapsed="false">
      <c r="A53" s="80" t="n">
        <v>2</v>
      </c>
      <c r="B53" s="68" t="s">
        <v>92</v>
      </c>
      <c r="C53" s="68" t="s">
        <v>33</v>
      </c>
      <c r="D53" s="68" t="s">
        <v>105</v>
      </c>
      <c r="E53" s="68" t="str">
        <f aca="false">C53&amp;D53</f>
        <v>IGF2C5</v>
      </c>
      <c r="F53" s="82" t="n">
        <v>24.187</v>
      </c>
      <c r="G53" s="59"/>
      <c r="H53" s="59"/>
      <c r="I53" s="59"/>
      <c r="J53" s="59"/>
      <c r="K53" s="72"/>
      <c r="L53" s="59"/>
      <c r="M53" s="59"/>
      <c r="N53" s="72"/>
    </row>
    <row r="54" customFormat="false" ht="15.75" hidden="false" customHeight="false" outlineLevel="0" collapsed="false">
      <c r="A54" s="80" t="n">
        <v>2</v>
      </c>
      <c r="B54" s="68" t="s">
        <v>93</v>
      </c>
      <c r="C54" s="68" t="s">
        <v>33</v>
      </c>
      <c r="D54" s="68" t="s">
        <v>106</v>
      </c>
      <c r="E54" s="68" t="str">
        <f aca="false">C54&amp;D54</f>
        <v>IGF2C6</v>
      </c>
      <c r="F54" s="82" t="n">
        <v>26.295</v>
      </c>
      <c r="G54" s="59"/>
      <c r="H54" s="59"/>
      <c r="I54" s="59"/>
      <c r="J54" s="59"/>
      <c r="K54" s="72"/>
      <c r="L54" s="59"/>
      <c r="M54" s="59"/>
      <c r="N54" s="72"/>
    </row>
    <row r="55" customFormat="false" ht="15.75" hidden="false" customHeight="false" outlineLevel="0" collapsed="false">
      <c r="A55" s="80" t="n">
        <v>2</v>
      </c>
      <c r="B55" s="68" t="s">
        <v>94</v>
      </c>
      <c r="C55" s="68" t="s">
        <v>33</v>
      </c>
      <c r="D55" s="68" t="s">
        <v>134</v>
      </c>
      <c r="E55" s="68" t="str">
        <f aca="false">C55&amp;D55</f>
        <v>IGF2C7</v>
      </c>
      <c r="F55" s="82" t="n">
        <v>23.092</v>
      </c>
      <c r="G55" s="59"/>
      <c r="H55" s="59"/>
      <c r="I55" s="59"/>
      <c r="J55" s="59"/>
      <c r="K55" s="72"/>
      <c r="L55" s="59"/>
      <c r="M55" s="59"/>
      <c r="N55" s="72"/>
    </row>
    <row r="56" customFormat="false" ht="15.75" hidden="false" customHeight="false" outlineLevel="0" collapsed="false">
      <c r="A56" s="80" t="n">
        <v>2</v>
      </c>
      <c r="B56" s="68" t="s">
        <v>95</v>
      </c>
      <c r="C56" s="68" t="s">
        <v>33</v>
      </c>
      <c r="D56" s="68" t="s">
        <v>135</v>
      </c>
      <c r="E56" s="68" t="str">
        <f aca="false">C56&amp;D56</f>
        <v>IGF2C10</v>
      </c>
      <c r="F56" s="82" t="n">
        <v>23.017</v>
      </c>
      <c r="G56" s="59"/>
      <c r="H56" s="59"/>
      <c r="I56" s="59"/>
      <c r="J56" s="59"/>
      <c r="K56" s="72"/>
      <c r="L56" s="59"/>
      <c r="M56" s="59"/>
      <c r="N56" s="72"/>
    </row>
    <row r="57" customFormat="false" ht="15.75" hidden="false" customHeight="false" outlineLevel="0" collapsed="false">
      <c r="A57" s="80" t="n">
        <v>2</v>
      </c>
      <c r="B57" s="68" t="s">
        <v>96</v>
      </c>
      <c r="C57" s="68" t="s">
        <v>33</v>
      </c>
      <c r="D57" s="68" t="s">
        <v>136</v>
      </c>
      <c r="E57" s="68" t="str">
        <f aca="false">C57&amp;D57</f>
        <v>IGF2C11</v>
      </c>
      <c r="F57" s="82" t="n">
        <v>23.204</v>
      </c>
      <c r="G57" s="59"/>
      <c r="H57" s="59"/>
      <c r="I57" s="59"/>
      <c r="J57" s="59"/>
      <c r="K57" s="72"/>
      <c r="L57" s="59"/>
      <c r="M57" s="59"/>
      <c r="N57" s="72"/>
    </row>
    <row r="58" customFormat="false" ht="15.75" hidden="false" customHeight="false" outlineLevel="0" collapsed="false">
      <c r="A58" s="80" t="n">
        <v>2</v>
      </c>
      <c r="B58" s="68" t="s">
        <v>97</v>
      </c>
      <c r="C58" s="68" t="s">
        <v>33</v>
      </c>
      <c r="D58" s="68" t="s">
        <v>137</v>
      </c>
      <c r="E58" s="68" t="str">
        <f aca="false">C58&amp;D58</f>
        <v>IGF2C12</v>
      </c>
      <c r="F58" s="82" t="n">
        <v>23.265</v>
      </c>
      <c r="G58" s="59"/>
      <c r="H58" s="59"/>
      <c r="I58" s="59"/>
      <c r="J58" s="59"/>
      <c r="K58" s="72"/>
      <c r="L58" s="59"/>
      <c r="M58" s="59"/>
      <c r="N58" s="72"/>
    </row>
    <row r="59" customFormat="false" ht="15.75" hidden="false" customHeight="false" outlineLevel="0" collapsed="false">
      <c r="A59" s="80" t="n">
        <v>2</v>
      </c>
      <c r="B59" s="68" t="s">
        <v>98</v>
      </c>
      <c r="C59" s="68" t="s">
        <v>33</v>
      </c>
      <c r="D59" s="68" t="s">
        <v>138</v>
      </c>
      <c r="E59" s="68" t="str">
        <f aca="false">C59&amp;D59</f>
        <v>IGF2V1</v>
      </c>
      <c r="F59" s="82" t="n">
        <v>22.583</v>
      </c>
      <c r="G59" s="59"/>
      <c r="H59" s="59"/>
      <c r="I59" s="59"/>
      <c r="J59" s="59"/>
      <c r="K59" s="72"/>
      <c r="L59" s="59"/>
      <c r="M59" s="59"/>
      <c r="N59" s="72"/>
    </row>
    <row r="60" customFormat="false" ht="15.75" hidden="false" customHeight="false" outlineLevel="0" collapsed="false">
      <c r="A60" s="80" t="n">
        <v>2</v>
      </c>
      <c r="B60" s="68" t="s">
        <v>99</v>
      </c>
      <c r="C60" s="68" t="s">
        <v>33</v>
      </c>
      <c r="D60" s="68" t="s">
        <v>139</v>
      </c>
      <c r="E60" s="68" t="str">
        <f aca="false">C60&amp;D60</f>
        <v>IGF2V2</v>
      </c>
      <c r="F60" s="82" t="n">
        <v>22.63</v>
      </c>
      <c r="G60" s="59"/>
      <c r="H60" s="59"/>
      <c r="I60" s="59"/>
      <c r="J60" s="59"/>
      <c r="K60" s="72"/>
      <c r="L60" s="59"/>
      <c r="M60" s="59"/>
      <c r="N60" s="72"/>
    </row>
    <row r="61" customFormat="false" ht="15.75" hidden="false" customHeight="false" outlineLevel="0" collapsed="false">
      <c r="A61" s="80" t="n">
        <v>2</v>
      </c>
      <c r="B61" s="68" t="s">
        <v>100</v>
      </c>
      <c r="C61" s="68" t="s">
        <v>33</v>
      </c>
      <c r="D61" s="68" t="s">
        <v>140</v>
      </c>
      <c r="E61" s="68" t="str">
        <f aca="false">C61&amp;D61</f>
        <v>IGF2V3</v>
      </c>
      <c r="F61" s="82" t="n">
        <v>22.573</v>
      </c>
      <c r="G61" s="59"/>
      <c r="H61" s="59"/>
      <c r="I61" s="59"/>
      <c r="J61" s="59"/>
      <c r="K61" s="72"/>
      <c r="L61" s="59"/>
      <c r="M61" s="59"/>
      <c r="N61" s="72"/>
    </row>
    <row r="62" customFormat="false" ht="15.75" hidden="false" customHeight="false" outlineLevel="0" collapsed="false">
      <c r="A62" s="80" t="n">
        <v>2</v>
      </c>
      <c r="B62" s="68" t="s">
        <v>101</v>
      </c>
      <c r="C62" s="68" t="s">
        <v>33</v>
      </c>
      <c r="D62" s="68" t="s">
        <v>141</v>
      </c>
      <c r="E62" s="68" t="str">
        <f aca="false">C62&amp;D62</f>
        <v>IGF2V4</v>
      </c>
      <c r="F62" s="82" t="n">
        <v>23.287</v>
      </c>
      <c r="G62" s="59"/>
      <c r="H62" s="59"/>
      <c r="I62" s="59"/>
      <c r="J62" s="59"/>
      <c r="K62" s="72"/>
      <c r="L62" s="59"/>
      <c r="M62" s="59"/>
      <c r="N62" s="72"/>
    </row>
    <row r="63" customFormat="false" ht="15.75" hidden="false" customHeight="false" outlineLevel="0" collapsed="false">
      <c r="A63" s="80" t="n">
        <v>2</v>
      </c>
      <c r="B63" s="68" t="s">
        <v>102</v>
      </c>
      <c r="C63" s="68" t="s">
        <v>33</v>
      </c>
      <c r="D63" s="68" t="s">
        <v>142</v>
      </c>
      <c r="E63" s="68" t="str">
        <f aca="false">C63&amp;D63</f>
        <v>IGF2V5</v>
      </c>
      <c r="F63" s="82" t="n">
        <v>22.169</v>
      </c>
      <c r="G63" s="59"/>
      <c r="H63" s="59"/>
      <c r="I63" s="59"/>
      <c r="J63" s="59"/>
      <c r="K63" s="72"/>
      <c r="L63" s="59"/>
      <c r="M63" s="59"/>
      <c r="N63" s="72"/>
    </row>
    <row r="64" customFormat="false" ht="15.75" hidden="false" customHeight="false" outlineLevel="0" collapsed="false">
      <c r="A64" s="80" t="n">
        <v>2</v>
      </c>
      <c r="B64" s="68" t="s">
        <v>103</v>
      </c>
      <c r="C64" s="68" t="s">
        <v>33</v>
      </c>
      <c r="D64" s="68" t="s">
        <v>143</v>
      </c>
      <c r="E64" s="68" t="str">
        <f aca="false">C64&amp;D64</f>
        <v>IGF2V7</v>
      </c>
      <c r="F64" s="82" t="n">
        <v>22.149</v>
      </c>
      <c r="G64" s="59"/>
      <c r="H64" s="59"/>
      <c r="I64" s="59"/>
      <c r="J64" s="59"/>
      <c r="K64" s="72"/>
      <c r="L64" s="59"/>
      <c r="M64" s="59"/>
      <c r="N64" s="72"/>
    </row>
    <row r="65" customFormat="false" ht="15.75" hidden="false" customHeight="false" outlineLevel="0" collapsed="false">
      <c r="A65" s="80" t="n">
        <v>2</v>
      </c>
      <c r="B65" s="68" t="s">
        <v>104</v>
      </c>
      <c r="C65" s="68" t="s">
        <v>33</v>
      </c>
      <c r="D65" s="68" t="s">
        <v>144</v>
      </c>
      <c r="E65" s="68" t="str">
        <f aca="false">C65&amp;D65</f>
        <v>IGF2V8</v>
      </c>
      <c r="F65" s="82" t="n">
        <v>23.16</v>
      </c>
      <c r="G65" s="59"/>
      <c r="H65" s="59"/>
      <c r="I65" s="59"/>
      <c r="J65" s="59"/>
      <c r="K65" s="72"/>
      <c r="L65" s="59"/>
      <c r="M65" s="59"/>
      <c r="N65" s="72"/>
    </row>
    <row r="66" customFormat="false" ht="15.75" hidden="false" customHeight="false" outlineLevel="0" collapsed="false">
      <c r="A66" s="80" t="n">
        <v>2</v>
      </c>
      <c r="B66" s="68" t="s">
        <v>105</v>
      </c>
      <c r="C66" s="68" t="s">
        <v>33</v>
      </c>
      <c r="D66" s="68" t="s">
        <v>145</v>
      </c>
      <c r="E66" s="68" t="str">
        <f aca="false">C66&amp;D66</f>
        <v>IGF2V10</v>
      </c>
      <c r="F66" s="82" t="n">
        <v>23.521</v>
      </c>
      <c r="G66" s="59"/>
      <c r="H66" s="59"/>
      <c r="I66" s="59"/>
      <c r="J66" s="59"/>
      <c r="K66" s="72"/>
      <c r="L66" s="59"/>
      <c r="M66" s="59"/>
      <c r="N66" s="72"/>
    </row>
    <row r="67" customFormat="false" ht="15.75" hidden="false" customHeight="false" outlineLevel="0" collapsed="false">
      <c r="A67" s="80" t="n">
        <v>2</v>
      </c>
      <c r="B67" s="68" t="s">
        <v>106</v>
      </c>
      <c r="C67" s="68" t="s">
        <v>33</v>
      </c>
      <c r="D67" s="68" t="s">
        <v>146</v>
      </c>
      <c r="E67" s="68" t="str">
        <f aca="false">C67&amp;D67</f>
        <v>IGF2V12</v>
      </c>
      <c r="F67" s="82" t="n">
        <v>24.014</v>
      </c>
      <c r="G67" s="59"/>
      <c r="H67" s="59"/>
      <c r="I67" s="59"/>
      <c r="J67" s="59"/>
      <c r="K67" s="72"/>
      <c r="L67" s="59"/>
      <c r="M67" s="59"/>
      <c r="N67" s="72"/>
    </row>
    <row r="68" customFormat="false" ht="15.75" hidden="false" customHeight="false" outlineLevel="0" collapsed="false">
      <c r="A68" s="80" t="n">
        <v>2</v>
      </c>
      <c r="B68" s="68" t="s">
        <v>107</v>
      </c>
      <c r="C68" s="68" t="s">
        <v>34</v>
      </c>
      <c r="D68" s="81" t="n">
        <v>1</v>
      </c>
      <c r="E68" s="68" t="str">
        <f aca="false">C68&amp;D68</f>
        <v>CCL21</v>
      </c>
      <c r="F68" s="82" t="n">
        <v>30.881</v>
      </c>
      <c r="G68" s="59"/>
      <c r="H68" s="59"/>
      <c r="I68" s="59"/>
      <c r="J68" s="59"/>
      <c r="K68" s="72"/>
      <c r="L68" s="59"/>
      <c r="M68" s="59"/>
      <c r="N68" s="72"/>
    </row>
    <row r="69" customFormat="false" ht="15.75" hidden="false" customHeight="false" outlineLevel="0" collapsed="false">
      <c r="A69" s="80" t="n">
        <v>2</v>
      </c>
      <c r="B69" s="68" t="s">
        <v>108</v>
      </c>
      <c r="C69" s="68" t="s">
        <v>34</v>
      </c>
      <c r="D69" s="81" t="n">
        <v>0.1</v>
      </c>
      <c r="E69" s="68" t="str">
        <f aca="false">C69&amp;D69</f>
        <v>CCL20.1</v>
      </c>
      <c r="F69" s="82" t="n">
        <v>33.782</v>
      </c>
      <c r="G69" s="59"/>
      <c r="H69" s="59"/>
      <c r="I69" s="59"/>
      <c r="J69" s="59"/>
      <c r="K69" s="72"/>
      <c r="L69" s="59"/>
      <c r="M69" s="59"/>
      <c r="N69" s="72"/>
    </row>
    <row r="70" customFormat="false" ht="15.75" hidden="false" customHeight="false" outlineLevel="0" collapsed="false">
      <c r="A70" s="80" t="n">
        <v>2</v>
      </c>
      <c r="B70" s="68" t="s">
        <v>109</v>
      </c>
      <c r="C70" s="68" t="s">
        <v>34</v>
      </c>
      <c r="D70" s="81" t="n">
        <v>0.01</v>
      </c>
      <c r="E70" s="68" t="str">
        <f aca="false">C70&amp;D70</f>
        <v>CCL20.01</v>
      </c>
      <c r="F70" s="82" t="n">
        <v>37.157</v>
      </c>
      <c r="G70" s="59"/>
      <c r="H70" s="59"/>
      <c r="I70" s="59"/>
      <c r="J70" s="59"/>
      <c r="K70" s="72"/>
      <c r="L70" s="59"/>
      <c r="M70" s="59"/>
      <c r="N70" s="72"/>
    </row>
    <row r="71" customFormat="false" ht="15.75" hidden="false" customHeight="false" outlineLevel="0" collapsed="false">
      <c r="A71" s="80" t="n">
        <v>2</v>
      </c>
      <c r="B71" s="68" t="s">
        <v>110</v>
      </c>
      <c r="C71" s="68" t="s">
        <v>34</v>
      </c>
      <c r="D71" s="84" t="n">
        <v>0.001</v>
      </c>
      <c r="E71" s="68" t="str">
        <f aca="false">C71&amp;D71</f>
        <v>CCL20.001</v>
      </c>
      <c r="F71" s="82" t="s">
        <v>88</v>
      </c>
      <c r="G71" s="59"/>
      <c r="H71" s="59"/>
      <c r="I71" s="59"/>
      <c r="J71" s="59"/>
      <c r="K71" s="72"/>
      <c r="L71" s="59"/>
      <c r="M71" s="59"/>
      <c r="N71" s="72"/>
    </row>
    <row r="72" customFormat="false" ht="15.75" hidden="false" customHeight="false" outlineLevel="0" collapsed="false">
      <c r="A72" s="80" t="n">
        <v>2</v>
      </c>
      <c r="B72" s="68" t="s">
        <v>111</v>
      </c>
      <c r="C72" s="68" t="s">
        <v>34</v>
      </c>
      <c r="D72" s="68" t="s">
        <v>131</v>
      </c>
      <c r="E72" s="68" t="str">
        <f aca="false">C72&amp;D72</f>
        <v>CCL2C1</v>
      </c>
      <c r="F72" s="82" t="n">
        <v>30.827</v>
      </c>
      <c r="G72" s="59"/>
      <c r="H72" s="59"/>
      <c r="I72" s="59"/>
      <c r="J72" s="59"/>
      <c r="K72" s="72"/>
      <c r="L72" s="59"/>
      <c r="M72" s="59"/>
      <c r="N72" s="72"/>
    </row>
    <row r="73" customFormat="false" ht="15.75" hidden="false" customHeight="false" outlineLevel="0" collapsed="false">
      <c r="A73" s="80" t="n">
        <v>2</v>
      </c>
      <c r="B73" s="68" t="s">
        <v>112</v>
      </c>
      <c r="C73" s="68" t="s">
        <v>34</v>
      </c>
      <c r="D73" s="68" t="s">
        <v>132</v>
      </c>
      <c r="E73" s="68" t="str">
        <f aca="false">C73&amp;D73</f>
        <v>CCL2C2</v>
      </c>
      <c r="F73" s="82" t="n">
        <v>31.85</v>
      </c>
      <c r="G73" s="59"/>
      <c r="H73" s="59"/>
      <c r="I73" s="59"/>
      <c r="J73" s="59"/>
      <c r="K73" s="72"/>
      <c r="L73" s="59"/>
      <c r="M73" s="59"/>
      <c r="N73" s="72"/>
    </row>
    <row r="74" customFormat="false" ht="15.75" hidden="false" customHeight="false" outlineLevel="0" collapsed="false">
      <c r="A74" s="80" t="n">
        <v>2</v>
      </c>
      <c r="B74" s="68" t="s">
        <v>113</v>
      </c>
      <c r="C74" s="68" t="s">
        <v>34</v>
      </c>
      <c r="D74" s="68" t="s">
        <v>133</v>
      </c>
      <c r="E74" s="68" t="str">
        <f aca="false">C74&amp;D74</f>
        <v>CCL2C3</v>
      </c>
      <c r="F74" s="82" t="n">
        <v>31.947</v>
      </c>
      <c r="G74" s="59"/>
      <c r="H74" s="59"/>
      <c r="I74" s="59"/>
      <c r="J74" s="59"/>
      <c r="K74" s="72"/>
      <c r="L74" s="59"/>
      <c r="M74" s="59"/>
      <c r="N74" s="72"/>
    </row>
    <row r="75" customFormat="false" ht="15.75" hidden="false" customHeight="false" outlineLevel="0" collapsed="false">
      <c r="A75" s="80" t="n">
        <v>2</v>
      </c>
      <c r="B75" s="68" t="s">
        <v>114</v>
      </c>
      <c r="C75" s="68" t="s">
        <v>34</v>
      </c>
      <c r="D75" s="68" t="s">
        <v>105</v>
      </c>
      <c r="E75" s="68" t="str">
        <f aca="false">C75&amp;D75</f>
        <v>CCL2C5</v>
      </c>
      <c r="F75" s="82" t="n">
        <v>33.406</v>
      </c>
      <c r="G75" s="59"/>
      <c r="H75" s="59"/>
      <c r="I75" s="59"/>
      <c r="J75" s="59"/>
      <c r="K75" s="72"/>
      <c r="L75" s="59"/>
      <c r="M75" s="59"/>
      <c r="N75" s="72"/>
    </row>
    <row r="76" customFormat="false" ht="15.75" hidden="false" customHeight="false" outlineLevel="0" collapsed="false">
      <c r="A76" s="80" t="n">
        <v>2</v>
      </c>
      <c r="B76" s="68" t="s">
        <v>115</v>
      </c>
      <c r="C76" s="68" t="s">
        <v>34</v>
      </c>
      <c r="D76" s="68" t="s">
        <v>106</v>
      </c>
      <c r="E76" s="68" t="str">
        <f aca="false">C76&amp;D76</f>
        <v>CCL2C6</v>
      </c>
      <c r="F76" s="82" t="n">
        <v>33.012</v>
      </c>
      <c r="G76" s="59"/>
      <c r="H76" s="59"/>
      <c r="I76" s="59"/>
      <c r="J76" s="59"/>
      <c r="K76" s="72"/>
      <c r="L76" s="59"/>
      <c r="M76" s="59"/>
      <c r="N76" s="72"/>
    </row>
    <row r="77" customFormat="false" ht="15.75" hidden="false" customHeight="false" outlineLevel="0" collapsed="false">
      <c r="A77" s="80" t="n">
        <v>2</v>
      </c>
      <c r="B77" s="68" t="s">
        <v>116</v>
      </c>
      <c r="C77" s="68" t="s">
        <v>34</v>
      </c>
      <c r="D77" s="68" t="s">
        <v>134</v>
      </c>
      <c r="E77" s="68" t="str">
        <f aca="false">C77&amp;D77</f>
        <v>CCL2C7</v>
      </c>
      <c r="F77" s="82" t="n">
        <v>31.702</v>
      </c>
      <c r="G77" s="59"/>
      <c r="H77" s="59"/>
      <c r="I77" s="59"/>
      <c r="J77" s="59"/>
      <c r="K77" s="72"/>
      <c r="L77" s="59"/>
      <c r="M77" s="59"/>
      <c r="N77" s="72"/>
    </row>
    <row r="78" customFormat="false" ht="15.75" hidden="false" customHeight="false" outlineLevel="0" collapsed="false">
      <c r="A78" s="80" t="n">
        <v>2</v>
      </c>
      <c r="B78" s="68" t="s">
        <v>117</v>
      </c>
      <c r="C78" s="68" t="s">
        <v>34</v>
      </c>
      <c r="D78" s="68" t="s">
        <v>135</v>
      </c>
      <c r="E78" s="68" t="str">
        <f aca="false">C78&amp;D78</f>
        <v>CCL2C10</v>
      </c>
      <c r="F78" s="82" t="n">
        <v>31.709</v>
      </c>
      <c r="G78" s="59"/>
      <c r="H78" s="59"/>
      <c r="I78" s="59"/>
      <c r="J78" s="59"/>
      <c r="K78" s="72"/>
      <c r="L78" s="59"/>
      <c r="M78" s="59"/>
      <c r="N78" s="72"/>
    </row>
    <row r="79" customFormat="false" ht="15.75" hidden="false" customHeight="false" outlineLevel="0" collapsed="false">
      <c r="A79" s="80" t="n">
        <v>2</v>
      </c>
      <c r="B79" s="68" t="s">
        <v>118</v>
      </c>
      <c r="C79" s="68" t="s">
        <v>34</v>
      </c>
      <c r="D79" s="68" t="s">
        <v>136</v>
      </c>
      <c r="E79" s="68" t="str">
        <f aca="false">C79&amp;D79</f>
        <v>CCL2C11</v>
      </c>
      <c r="F79" s="82" t="n">
        <v>32.619</v>
      </c>
      <c r="G79" s="59"/>
      <c r="H79" s="59"/>
      <c r="I79" s="59"/>
      <c r="J79" s="59"/>
      <c r="K79" s="72"/>
      <c r="L79" s="59"/>
      <c r="M79" s="59"/>
      <c r="N79" s="72"/>
    </row>
    <row r="80" customFormat="false" ht="15.75" hidden="false" customHeight="false" outlineLevel="0" collapsed="false">
      <c r="A80" s="80" t="n">
        <v>2</v>
      </c>
      <c r="B80" s="68" t="s">
        <v>119</v>
      </c>
      <c r="C80" s="68" t="s">
        <v>34</v>
      </c>
      <c r="D80" s="68" t="s">
        <v>137</v>
      </c>
      <c r="E80" s="68" t="str">
        <f aca="false">C80&amp;D80</f>
        <v>CCL2C12</v>
      </c>
      <c r="F80" s="82" t="n">
        <v>32.23</v>
      </c>
      <c r="G80" s="59"/>
      <c r="H80" s="59"/>
      <c r="I80" s="59"/>
      <c r="J80" s="59"/>
      <c r="K80" s="72"/>
      <c r="L80" s="59"/>
      <c r="M80" s="59"/>
      <c r="N80" s="72"/>
    </row>
    <row r="81" customFormat="false" ht="15.75" hidden="false" customHeight="false" outlineLevel="0" collapsed="false">
      <c r="A81" s="80" t="n">
        <v>2</v>
      </c>
      <c r="B81" s="68" t="s">
        <v>120</v>
      </c>
      <c r="C81" s="68" t="s">
        <v>34</v>
      </c>
      <c r="D81" s="68" t="s">
        <v>138</v>
      </c>
      <c r="E81" s="68" t="str">
        <f aca="false">C81&amp;D81</f>
        <v>CCL2V1</v>
      </c>
      <c r="F81" s="82" t="n">
        <v>31.949</v>
      </c>
      <c r="G81" s="59"/>
      <c r="H81" s="59"/>
      <c r="I81" s="59"/>
      <c r="J81" s="59"/>
      <c r="K81" s="72"/>
      <c r="L81" s="59"/>
      <c r="M81" s="59"/>
      <c r="N81" s="72"/>
    </row>
    <row r="82" customFormat="false" ht="15.75" hidden="false" customHeight="false" outlineLevel="0" collapsed="false">
      <c r="A82" s="80" t="n">
        <v>2</v>
      </c>
      <c r="B82" s="68" t="s">
        <v>121</v>
      </c>
      <c r="C82" s="68" t="s">
        <v>34</v>
      </c>
      <c r="D82" s="68" t="s">
        <v>139</v>
      </c>
      <c r="E82" s="68" t="str">
        <f aca="false">C82&amp;D82</f>
        <v>CCL2V2</v>
      </c>
      <c r="F82" s="82" t="n">
        <v>31.22</v>
      </c>
      <c r="G82" s="59"/>
      <c r="H82" s="59"/>
      <c r="I82" s="59"/>
      <c r="J82" s="59"/>
      <c r="K82" s="72"/>
      <c r="L82" s="59"/>
      <c r="M82" s="59"/>
      <c r="N82" s="72"/>
    </row>
    <row r="83" customFormat="false" ht="15.75" hidden="false" customHeight="false" outlineLevel="0" collapsed="false">
      <c r="A83" s="80" t="n">
        <v>2</v>
      </c>
      <c r="B83" s="68" t="s">
        <v>122</v>
      </c>
      <c r="C83" s="68" t="s">
        <v>34</v>
      </c>
      <c r="D83" s="68" t="s">
        <v>140</v>
      </c>
      <c r="E83" s="68" t="str">
        <f aca="false">C83&amp;D83</f>
        <v>CCL2V3</v>
      </c>
      <c r="F83" s="82" t="n">
        <v>31.857</v>
      </c>
      <c r="G83" s="59"/>
      <c r="H83" s="59"/>
      <c r="I83" s="59"/>
      <c r="J83" s="59"/>
      <c r="K83" s="72"/>
      <c r="L83" s="59"/>
      <c r="M83" s="59"/>
      <c r="N83" s="72"/>
    </row>
    <row r="84" customFormat="false" ht="15.75" hidden="false" customHeight="false" outlineLevel="0" collapsed="false">
      <c r="A84" s="80" t="n">
        <v>2</v>
      </c>
      <c r="B84" s="68" t="s">
        <v>123</v>
      </c>
      <c r="C84" s="68" t="s">
        <v>34</v>
      </c>
      <c r="D84" s="68" t="s">
        <v>141</v>
      </c>
      <c r="E84" s="68" t="str">
        <f aca="false">C84&amp;D84</f>
        <v>CCL2V4</v>
      </c>
      <c r="F84" s="82" t="n">
        <v>31.761</v>
      </c>
      <c r="G84" s="59"/>
      <c r="H84" s="59"/>
      <c r="I84" s="59"/>
      <c r="J84" s="59"/>
      <c r="K84" s="72"/>
      <c r="L84" s="59"/>
      <c r="M84" s="59"/>
      <c r="N84" s="72"/>
    </row>
    <row r="85" customFormat="false" ht="15.75" hidden="false" customHeight="false" outlineLevel="0" collapsed="false">
      <c r="A85" s="80" t="n">
        <v>2</v>
      </c>
      <c r="B85" s="68" t="s">
        <v>124</v>
      </c>
      <c r="C85" s="68" t="s">
        <v>34</v>
      </c>
      <c r="D85" s="68" t="s">
        <v>142</v>
      </c>
      <c r="E85" s="68" t="str">
        <f aca="false">C85&amp;D85</f>
        <v>CCL2V5</v>
      </c>
      <c r="F85" s="82" t="n">
        <v>30.97</v>
      </c>
      <c r="G85" s="59"/>
      <c r="H85" s="59"/>
      <c r="I85" s="59"/>
      <c r="J85" s="59"/>
      <c r="K85" s="72"/>
      <c r="L85" s="59"/>
      <c r="M85" s="59"/>
      <c r="N85" s="72"/>
    </row>
    <row r="86" customFormat="false" ht="15.75" hidden="false" customHeight="false" outlineLevel="0" collapsed="false">
      <c r="A86" s="80" t="n">
        <v>2</v>
      </c>
      <c r="B86" s="68" t="s">
        <v>125</v>
      </c>
      <c r="C86" s="68" t="s">
        <v>34</v>
      </c>
      <c r="D86" s="68" t="s">
        <v>143</v>
      </c>
      <c r="E86" s="68" t="str">
        <f aca="false">C86&amp;D86</f>
        <v>CCL2V7</v>
      </c>
      <c r="F86" s="82" t="n">
        <v>31.718</v>
      </c>
      <c r="G86" s="59"/>
      <c r="H86" s="59"/>
      <c r="I86" s="59"/>
      <c r="J86" s="59"/>
      <c r="K86" s="72"/>
      <c r="L86" s="59"/>
      <c r="M86" s="59"/>
      <c r="N86" s="72"/>
    </row>
    <row r="87" customFormat="false" ht="15.75" hidden="false" customHeight="false" outlineLevel="0" collapsed="false">
      <c r="A87" s="80" t="n">
        <v>2</v>
      </c>
      <c r="B87" s="68" t="s">
        <v>126</v>
      </c>
      <c r="C87" s="68" t="s">
        <v>34</v>
      </c>
      <c r="D87" s="68" t="s">
        <v>144</v>
      </c>
      <c r="E87" s="68" t="str">
        <f aca="false">C87&amp;D87</f>
        <v>CCL2V8</v>
      </c>
      <c r="F87" s="82" t="n">
        <v>32.357</v>
      </c>
      <c r="G87" s="59"/>
      <c r="H87" s="59"/>
      <c r="I87" s="59"/>
      <c r="J87" s="59"/>
      <c r="K87" s="72"/>
      <c r="L87" s="59"/>
      <c r="M87" s="59"/>
      <c r="N87" s="72"/>
    </row>
    <row r="88" customFormat="false" ht="15.75" hidden="false" customHeight="false" outlineLevel="0" collapsed="false">
      <c r="A88" s="80" t="n">
        <v>2</v>
      </c>
      <c r="B88" s="68" t="s">
        <v>127</v>
      </c>
      <c r="C88" s="68" t="s">
        <v>34</v>
      </c>
      <c r="D88" s="68" t="s">
        <v>145</v>
      </c>
      <c r="E88" s="68" t="str">
        <f aca="false">C88&amp;D88</f>
        <v>CCL2V10</v>
      </c>
      <c r="F88" s="82" t="n">
        <v>31.78</v>
      </c>
      <c r="G88" s="59"/>
      <c r="H88" s="59"/>
      <c r="I88" s="59"/>
      <c r="J88" s="59"/>
      <c r="K88" s="72"/>
      <c r="L88" s="59"/>
      <c r="M88" s="59"/>
      <c r="N88" s="72"/>
    </row>
    <row r="89" customFormat="false" ht="15.75" hidden="false" customHeight="false" outlineLevel="0" collapsed="false">
      <c r="A89" s="80" t="n">
        <v>2</v>
      </c>
      <c r="B89" s="68" t="s">
        <v>128</v>
      </c>
      <c r="C89" s="68" t="s">
        <v>34</v>
      </c>
      <c r="D89" s="68" t="s">
        <v>146</v>
      </c>
      <c r="E89" s="68" t="str">
        <f aca="false">C89&amp;D89</f>
        <v>CCL2V12</v>
      </c>
      <c r="F89" s="82" t="n">
        <v>32.291</v>
      </c>
      <c r="G89" s="59"/>
      <c r="H89" s="59"/>
      <c r="I89" s="59"/>
      <c r="J89" s="59"/>
      <c r="K89" s="72"/>
      <c r="L89" s="59"/>
      <c r="M89" s="59"/>
      <c r="N89" s="72"/>
    </row>
    <row r="90" customFormat="false" ht="15.75" hidden="false" customHeight="false" outlineLevel="0" collapsed="false">
      <c r="A90" s="80" t="n">
        <v>3</v>
      </c>
      <c r="B90" s="68" t="s">
        <v>80</v>
      </c>
      <c r="C90" s="68" t="s">
        <v>37</v>
      </c>
      <c r="D90" s="81" t="n">
        <v>1</v>
      </c>
      <c r="E90" s="68" t="str">
        <f aca="false">C90&amp;D90</f>
        <v>BCAS11</v>
      </c>
      <c r="F90" s="82" t="n">
        <v>28.998</v>
      </c>
      <c r="G90" s="59"/>
      <c r="H90" s="59"/>
      <c r="I90" s="59"/>
      <c r="J90" s="59"/>
      <c r="K90" s="72"/>
      <c r="L90" s="59"/>
      <c r="M90" s="59"/>
      <c r="N90" s="72"/>
    </row>
    <row r="91" customFormat="false" ht="15.75" hidden="false" customHeight="false" outlineLevel="0" collapsed="false">
      <c r="A91" s="80" t="n">
        <v>3</v>
      </c>
      <c r="B91" s="68" t="s">
        <v>85</v>
      </c>
      <c r="C91" s="68" t="s">
        <v>37</v>
      </c>
      <c r="D91" s="81" t="n">
        <v>0.1</v>
      </c>
      <c r="E91" s="68" t="str">
        <f aca="false">C91&amp;D91</f>
        <v>BCAS10.1</v>
      </c>
      <c r="F91" s="82" t="n">
        <v>27.722</v>
      </c>
      <c r="G91" s="59"/>
      <c r="H91" s="59"/>
      <c r="I91" s="59"/>
      <c r="J91" s="59"/>
      <c r="K91" s="72"/>
      <c r="L91" s="59"/>
      <c r="M91" s="59"/>
      <c r="N91" s="72"/>
    </row>
    <row r="92" customFormat="false" ht="15.75" hidden="false" customHeight="false" outlineLevel="0" collapsed="false">
      <c r="A92" s="80" t="n">
        <v>3</v>
      </c>
      <c r="B92" s="68" t="s">
        <v>86</v>
      </c>
      <c r="C92" s="68" t="s">
        <v>37</v>
      </c>
      <c r="D92" s="81" t="n">
        <v>0.01</v>
      </c>
      <c r="E92" s="68" t="str">
        <f aca="false">C92&amp;D92</f>
        <v>BCAS10.01</v>
      </c>
      <c r="F92" s="82" t="n">
        <v>31.877</v>
      </c>
      <c r="G92" s="59"/>
      <c r="H92" s="59"/>
      <c r="I92" s="59"/>
      <c r="J92" s="59"/>
      <c r="K92" s="72"/>
      <c r="L92" s="59"/>
      <c r="M92" s="59"/>
      <c r="N92" s="72"/>
    </row>
    <row r="93" customFormat="false" ht="15.75" hidden="false" customHeight="false" outlineLevel="0" collapsed="false">
      <c r="A93" s="80" t="n">
        <v>3</v>
      </c>
      <c r="B93" s="68" t="s">
        <v>87</v>
      </c>
      <c r="C93" s="68" t="s">
        <v>37</v>
      </c>
      <c r="D93" s="84" t="n">
        <v>0.001</v>
      </c>
      <c r="E93" s="68" t="str">
        <f aca="false">C93&amp;D93</f>
        <v>BCAS10.001</v>
      </c>
      <c r="F93" s="82" t="n">
        <v>34.145</v>
      </c>
      <c r="G93" s="59"/>
      <c r="H93" s="59"/>
      <c r="I93" s="59"/>
      <c r="J93" s="59"/>
      <c r="K93" s="72"/>
      <c r="L93" s="59"/>
      <c r="M93" s="59"/>
      <c r="N93" s="72"/>
    </row>
    <row r="94" customFormat="false" ht="15.75" hidden="false" customHeight="false" outlineLevel="0" collapsed="false">
      <c r="A94" s="80" t="n">
        <v>3</v>
      </c>
      <c r="B94" s="68" t="s">
        <v>89</v>
      </c>
      <c r="C94" s="68" t="s">
        <v>37</v>
      </c>
      <c r="D94" s="68" t="s">
        <v>131</v>
      </c>
      <c r="E94" s="68" t="str">
        <f aca="false">C94&amp;D94</f>
        <v>BCAS1C1</v>
      </c>
      <c r="F94" s="82" t="n">
        <v>25.634</v>
      </c>
      <c r="G94" s="59"/>
      <c r="H94" s="59"/>
      <c r="I94" s="59"/>
      <c r="J94" s="59"/>
      <c r="K94" s="72"/>
      <c r="L94" s="59"/>
      <c r="M94" s="59"/>
      <c r="N94" s="72"/>
    </row>
    <row r="95" customFormat="false" ht="15.75" hidden="false" customHeight="false" outlineLevel="0" collapsed="false">
      <c r="A95" s="80" t="n">
        <v>3</v>
      </c>
      <c r="B95" s="68" t="s">
        <v>90</v>
      </c>
      <c r="C95" s="68" t="s">
        <v>37</v>
      </c>
      <c r="D95" s="68" t="s">
        <v>132</v>
      </c>
      <c r="E95" s="68" t="str">
        <f aca="false">C95&amp;D95</f>
        <v>BCAS1C2</v>
      </c>
      <c r="F95" s="82" t="n">
        <v>25.872</v>
      </c>
      <c r="G95" s="59"/>
      <c r="H95" s="59"/>
      <c r="I95" s="59"/>
      <c r="J95" s="59"/>
      <c r="K95" s="72"/>
      <c r="L95" s="59"/>
      <c r="M95" s="59"/>
      <c r="N95" s="72"/>
    </row>
    <row r="96" customFormat="false" ht="15.75" hidden="false" customHeight="false" outlineLevel="0" collapsed="false">
      <c r="A96" s="80" t="n">
        <v>3</v>
      </c>
      <c r="B96" s="68" t="s">
        <v>91</v>
      </c>
      <c r="C96" s="68" t="s">
        <v>37</v>
      </c>
      <c r="D96" s="68" t="s">
        <v>133</v>
      </c>
      <c r="E96" s="68" t="str">
        <f aca="false">C96&amp;D96</f>
        <v>BCAS1C3</v>
      </c>
      <c r="F96" s="82" t="n">
        <v>25.635</v>
      </c>
      <c r="G96" s="59"/>
      <c r="H96" s="59"/>
      <c r="I96" s="59"/>
      <c r="J96" s="59"/>
      <c r="K96" s="72"/>
      <c r="L96" s="59"/>
      <c r="M96" s="59"/>
      <c r="N96" s="72"/>
    </row>
    <row r="97" customFormat="false" ht="15.75" hidden="false" customHeight="false" outlineLevel="0" collapsed="false">
      <c r="A97" s="80" t="n">
        <v>3</v>
      </c>
      <c r="B97" s="68" t="s">
        <v>92</v>
      </c>
      <c r="C97" s="68" t="s">
        <v>37</v>
      </c>
      <c r="D97" s="68" t="s">
        <v>105</v>
      </c>
      <c r="E97" s="68" t="str">
        <f aca="false">C97&amp;D97</f>
        <v>BCAS1C5</v>
      </c>
      <c r="F97" s="82" t="n">
        <v>26.234</v>
      </c>
      <c r="G97" s="59"/>
      <c r="H97" s="59"/>
      <c r="I97" s="59"/>
      <c r="J97" s="59"/>
      <c r="K97" s="72"/>
      <c r="L97" s="59"/>
      <c r="M97" s="59"/>
      <c r="N97" s="72"/>
    </row>
    <row r="98" customFormat="false" ht="15.75" hidden="false" customHeight="false" outlineLevel="0" collapsed="false">
      <c r="A98" s="80" t="n">
        <v>3</v>
      </c>
      <c r="B98" s="68" t="s">
        <v>93</v>
      </c>
      <c r="C98" s="68" t="s">
        <v>37</v>
      </c>
      <c r="D98" s="68" t="s">
        <v>106</v>
      </c>
      <c r="E98" s="68" t="str">
        <f aca="false">C98&amp;D98</f>
        <v>BCAS1C6</v>
      </c>
      <c r="F98" s="82" t="n">
        <v>26.604</v>
      </c>
      <c r="G98" s="59"/>
      <c r="H98" s="59"/>
      <c r="I98" s="59"/>
      <c r="J98" s="59"/>
      <c r="K98" s="72"/>
      <c r="L98" s="59"/>
      <c r="M98" s="59"/>
      <c r="N98" s="72"/>
    </row>
    <row r="99" customFormat="false" ht="15.75" hidden="false" customHeight="false" outlineLevel="0" collapsed="false">
      <c r="A99" s="80" t="n">
        <v>3</v>
      </c>
      <c r="B99" s="68" t="s">
        <v>94</v>
      </c>
      <c r="C99" s="68" t="s">
        <v>37</v>
      </c>
      <c r="D99" s="68" t="s">
        <v>134</v>
      </c>
      <c r="E99" s="68" t="str">
        <f aca="false">C99&amp;D99</f>
        <v>BCAS1C7</v>
      </c>
      <c r="F99" s="82" t="n">
        <v>25.277</v>
      </c>
      <c r="G99" s="59"/>
      <c r="H99" s="59"/>
      <c r="I99" s="59"/>
      <c r="J99" s="59"/>
      <c r="K99" s="72"/>
      <c r="L99" s="59"/>
      <c r="M99" s="59"/>
      <c r="N99" s="72"/>
    </row>
    <row r="100" customFormat="false" ht="15.75" hidden="false" customHeight="false" outlineLevel="0" collapsed="false">
      <c r="A100" s="80" t="n">
        <v>3</v>
      </c>
      <c r="B100" s="68" t="s">
        <v>95</v>
      </c>
      <c r="C100" s="68" t="s">
        <v>37</v>
      </c>
      <c r="D100" s="68" t="s">
        <v>135</v>
      </c>
      <c r="E100" s="68" t="str">
        <f aca="false">C100&amp;D100</f>
        <v>BCAS1C10</v>
      </c>
      <c r="F100" s="82" t="n">
        <v>25.778</v>
      </c>
      <c r="G100" s="59"/>
      <c r="H100" s="59"/>
      <c r="I100" s="59"/>
      <c r="J100" s="59"/>
      <c r="K100" s="72"/>
      <c r="L100" s="59"/>
      <c r="M100" s="59"/>
      <c r="N100" s="72"/>
    </row>
    <row r="101" customFormat="false" ht="15.75" hidden="false" customHeight="false" outlineLevel="0" collapsed="false">
      <c r="A101" s="80" t="n">
        <v>3</v>
      </c>
      <c r="B101" s="68" t="s">
        <v>96</v>
      </c>
      <c r="C101" s="68" t="s">
        <v>37</v>
      </c>
      <c r="D101" s="68" t="s">
        <v>136</v>
      </c>
      <c r="E101" s="68" t="str">
        <f aca="false">C101&amp;D101</f>
        <v>BCAS1C11</v>
      </c>
      <c r="F101" s="82" t="n">
        <v>26.368</v>
      </c>
      <c r="G101" s="59"/>
      <c r="H101" s="59"/>
      <c r="I101" s="59"/>
      <c r="J101" s="59"/>
      <c r="K101" s="72"/>
      <c r="L101" s="59"/>
      <c r="M101" s="59"/>
      <c r="N101" s="72"/>
    </row>
    <row r="102" customFormat="false" ht="15.75" hidden="false" customHeight="false" outlineLevel="0" collapsed="false">
      <c r="A102" s="80" t="n">
        <v>3</v>
      </c>
      <c r="B102" s="68" t="s">
        <v>97</v>
      </c>
      <c r="C102" s="68" t="s">
        <v>37</v>
      </c>
      <c r="D102" s="68" t="s">
        <v>137</v>
      </c>
      <c r="E102" s="68" t="str">
        <f aca="false">C102&amp;D102</f>
        <v>BCAS1C12</v>
      </c>
      <c r="F102" s="82" t="n">
        <v>25.87</v>
      </c>
      <c r="G102" s="59"/>
      <c r="H102" s="59"/>
      <c r="I102" s="59"/>
      <c r="J102" s="59"/>
      <c r="K102" s="72"/>
      <c r="L102" s="59"/>
      <c r="M102" s="59"/>
      <c r="N102" s="72"/>
    </row>
    <row r="103" customFormat="false" ht="15.75" hidden="false" customHeight="false" outlineLevel="0" collapsed="false">
      <c r="A103" s="80" t="n">
        <v>3</v>
      </c>
      <c r="B103" s="68" t="s">
        <v>98</v>
      </c>
      <c r="C103" s="68" t="s">
        <v>37</v>
      </c>
      <c r="D103" s="68" t="s">
        <v>138</v>
      </c>
      <c r="E103" s="68" t="str">
        <f aca="false">C103&amp;D103</f>
        <v>BCAS1V1</v>
      </c>
      <c r="F103" s="82" t="n">
        <v>26.028</v>
      </c>
      <c r="G103" s="59"/>
      <c r="H103" s="59"/>
      <c r="I103" s="59"/>
      <c r="J103" s="59"/>
      <c r="K103" s="72"/>
      <c r="L103" s="59"/>
      <c r="M103" s="59"/>
      <c r="N103" s="72"/>
    </row>
    <row r="104" customFormat="false" ht="15.75" hidden="false" customHeight="false" outlineLevel="0" collapsed="false">
      <c r="A104" s="80" t="n">
        <v>3</v>
      </c>
      <c r="B104" s="68" t="s">
        <v>99</v>
      </c>
      <c r="C104" s="68" t="s">
        <v>37</v>
      </c>
      <c r="D104" s="68" t="s">
        <v>139</v>
      </c>
      <c r="E104" s="68" t="str">
        <f aca="false">C104&amp;D104</f>
        <v>BCAS1V2</v>
      </c>
      <c r="F104" s="82" t="n">
        <v>26.586</v>
      </c>
      <c r="G104" s="59"/>
      <c r="H104" s="59"/>
      <c r="I104" s="59"/>
      <c r="J104" s="59"/>
      <c r="K104" s="72"/>
      <c r="L104" s="59"/>
      <c r="M104" s="59"/>
      <c r="N104" s="72"/>
    </row>
    <row r="105" customFormat="false" ht="15.75" hidden="false" customHeight="false" outlineLevel="0" collapsed="false">
      <c r="A105" s="80" t="n">
        <v>3</v>
      </c>
      <c r="B105" s="68" t="s">
        <v>100</v>
      </c>
      <c r="C105" s="68" t="s">
        <v>37</v>
      </c>
      <c r="D105" s="68" t="s">
        <v>140</v>
      </c>
      <c r="E105" s="68" t="str">
        <f aca="false">C105&amp;D105</f>
        <v>BCAS1V3</v>
      </c>
      <c r="F105" s="82" t="n">
        <v>26.164</v>
      </c>
      <c r="G105" s="59"/>
      <c r="H105" s="59"/>
      <c r="I105" s="59"/>
      <c r="J105" s="59"/>
      <c r="K105" s="72"/>
      <c r="L105" s="59"/>
      <c r="M105" s="59"/>
      <c r="N105" s="72"/>
    </row>
    <row r="106" customFormat="false" ht="15.75" hidden="false" customHeight="false" outlineLevel="0" collapsed="false">
      <c r="A106" s="80" t="n">
        <v>3</v>
      </c>
      <c r="B106" s="68" t="s">
        <v>101</v>
      </c>
      <c r="C106" s="68" t="s">
        <v>37</v>
      </c>
      <c r="D106" s="68" t="s">
        <v>141</v>
      </c>
      <c r="E106" s="68" t="str">
        <f aca="false">C106&amp;D106</f>
        <v>BCAS1V4</v>
      </c>
      <c r="F106" s="82" t="n">
        <v>25.881</v>
      </c>
      <c r="G106" s="59"/>
      <c r="H106" s="59"/>
      <c r="I106" s="59"/>
      <c r="J106" s="59"/>
      <c r="K106" s="72"/>
      <c r="L106" s="59"/>
      <c r="M106" s="59"/>
      <c r="N106" s="72"/>
    </row>
    <row r="107" customFormat="false" ht="15.75" hidden="false" customHeight="false" outlineLevel="0" collapsed="false">
      <c r="A107" s="80" t="n">
        <v>3</v>
      </c>
      <c r="B107" s="68" t="s">
        <v>102</v>
      </c>
      <c r="C107" s="68" t="s">
        <v>37</v>
      </c>
      <c r="D107" s="68" t="s">
        <v>142</v>
      </c>
      <c r="E107" s="68" t="str">
        <f aca="false">C107&amp;D107</f>
        <v>BCAS1V5</v>
      </c>
      <c r="F107" s="82" t="n">
        <v>25.196</v>
      </c>
      <c r="G107" s="59"/>
      <c r="H107" s="59"/>
      <c r="I107" s="59"/>
      <c r="J107" s="59"/>
      <c r="K107" s="72"/>
      <c r="L107" s="59"/>
      <c r="M107" s="59"/>
      <c r="N107" s="72"/>
    </row>
    <row r="108" customFormat="false" ht="15.75" hidden="false" customHeight="false" outlineLevel="0" collapsed="false">
      <c r="A108" s="80" t="n">
        <v>3</v>
      </c>
      <c r="B108" s="68" t="s">
        <v>103</v>
      </c>
      <c r="C108" s="68" t="s">
        <v>37</v>
      </c>
      <c r="D108" s="68" t="s">
        <v>143</v>
      </c>
      <c r="E108" s="68" t="str">
        <f aca="false">C108&amp;D108</f>
        <v>BCAS1V7</v>
      </c>
      <c r="F108" s="82" t="n">
        <v>26.128</v>
      </c>
      <c r="G108" s="59"/>
      <c r="H108" s="59"/>
      <c r="I108" s="59"/>
      <c r="J108" s="59"/>
      <c r="K108" s="72"/>
      <c r="L108" s="59"/>
      <c r="M108" s="59"/>
      <c r="N108" s="72"/>
    </row>
    <row r="109" customFormat="false" ht="15.75" hidden="false" customHeight="false" outlineLevel="0" collapsed="false">
      <c r="A109" s="80" t="n">
        <v>3</v>
      </c>
      <c r="B109" s="68" t="s">
        <v>104</v>
      </c>
      <c r="C109" s="68" t="s">
        <v>37</v>
      </c>
      <c r="D109" s="68" t="s">
        <v>144</v>
      </c>
      <c r="E109" s="68" t="str">
        <f aca="false">C109&amp;D109</f>
        <v>BCAS1V8</v>
      </c>
      <c r="F109" s="82" t="n">
        <v>25.577</v>
      </c>
      <c r="G109" s="59"/>
      <c r="H109" s="59"/>
      <c r="I109" s="59"/>
      <c r="J109" s="59"/>
      <c r="K109" s="72"/>
      <c r="L109" s="59"/>
      <c r="M109" s="59"/>
      <c r="N109" s="72"/>
    </row>
    <row r="110" customFormat="false" ht="15.75" hidden="false" customHeight="false" outlineLevel="0" collapsed="false">
      <c r="A110" s="80" t="n">
        <v>3</v>
      </c>
      <c r="B110" s="68" t="s">
        <v>105</v>
      </c>
      <c r="C110" s="68" t="s">
        <v>37</v>
      </c>
      <c r="D110" s="68" t="s">
        <v>145</v>
      </c>
      <c r="E110" s="68" t="str">
        <f aca="false">C110&amp;D110</f>
        <v>BCAS1V10</v>
      </c>
      <c r="F110" s="82" t="n">
        <v>25.796</v>
      </c>
      <c r="G110" s="59"/>
      <c r="H110" s="59"/>
      <c r="I110" s="59"/>
      <c r="J110" s="59"/>
      <c r="K110" s="72"/>
      <c r="L110" s="59"/>
      <c r="M110" s="59"/>
      <c r="N110" s="72"/>
    </row>
    <row r="111" customFormat="false" ht="15.75" hidden="false" customHeight="false" outlineLevel="0" collapsed="false">
      <c r="A111" s="80" t="n">
        <v>3</v>
      </c>
      <c r="B111" s="68" t="s">
        <v>106</v>
      </c>
      <c r="C111" s="68" t="s">
        <v>37</v>
      </c>
      <c r="D111" s="68" t="s">
        <v>146</v>
      </c>
      <c r="E111" s="68" t="str">
        <f aca="false">C111&amp;D111</f>
        <v>BCAS1V12</v>
      </c>
      <c r="F111" s="82" t="n">
        <v>26.153</v>
      </c>
      <c r="G111" s="59"/>
      <c r="H111" s="59"/>
      <c r="I111" s="59"/>
      <c r="J111" s="59"/>
      <c r="K111" s="72"/>
      <c r="L111" s="59"/>
      <c r="M111" s="59"/>
      <c r="N111" s="72"/>
    </row>
    <row r="112" customFormat="false" ht="15.75" hidden="false" customHeight="false" outlineLevel="0" collapsed="false">
      <c r="A112" s="80" t="n">
        <v>3</v>
      </c>
      <c r="B112" s="68" t="s">
        <v>107</v>
      </c>
      <c r="C112" s="68" t="s">
        <v>38</v>
      </c>
      <c r="D112" s="81" t="n">
        <v>1</v>
      </c>
      <c r="E112" s="68" t="str">
        <f aca="false">C112&amp;D112</f>
        <v>MOBP1</v>
      </c>
      <c r="F112" s="82" t="n">
        <v>30.133</v>
      </c>
      <c r="G112" s="59"/>
      <c r="H112" s="59"/>
      <c r="I112" s="59"/>
      <c r="J112" s="59"/>
      <c r="K112" s="72"/>
      <c r="L112" s="59"/>
      <c r="M112" s="59"/>
      <c r="N112" s="72"/>
    </row>
    <row r="113" customFormat="false" ht="15.75" hidden="false" customHeight="false" outlineLevel="0" collapsed="false">
      <c r="A113" s="80" t="n">
        <v>3</v>
      </c>
      <c r="B113" s="68" t="s">
        <v>108</v>
      </c>
      <c r="C113" s="68" t="s">
        <v>38</v>
      </c>
      <c r="D113" s="81" t="n">
        <v>0.1</v>
      </c>
      <c r="E113" s="68" t="str">
        <f aca="false">C113&amp;D113</f>
        <v>MOBP0.1</v>
      </c>
      <c r="F113" s="82" t="n">
        <v>25.832</v>
      </c>
      <c r="G113" s="59"/>
      <c r="H113" s="59"/>
      <c r="I113" s="59"/>
      <c r="J113" s="59"/>
      <c r="K113" s="72"/>
      <c r="L113" s="59"/>
      <c r="M113" s="59"/>
      <c r="N113" s="72"/>
    </row>
    <row r="114" customFormat="false" ht="15.75" hidden="false" customHeight="false" outlineLevel="0" collapsed="false">
      <c r="A114" s="80" t="n">
        <v>3</v>
      </c>
      <c r="B114" s="68" t="s">
        <v>109</v>
      </c>
      <c r="C114" s="68" t="s">
        <v>38</v>
      </c>
      <c r="D114" s="81" t="n">
        <v>0.01</v>
      </c>
      <c r="E114" s="68" t="str">
        <f aca="false">C114&amp;D114</f>
        <v>MOBP0.01</v>
      </c>
      <c r="F114" s="82" t="n">
        <v>29.306</v>
      </c>
      <c r="G114" s="59"/>
      <c r="H114" s="59"/>
      <c r="I114" s="59"/>
      <c r="J114" s="59"/>
      <c r="K114" s="72"/>
      <c r="L114" s="59"/>
      <c r="M114" s="59"/>
      <c r="N114" s="72"/>
    </row>
    <row r="115" customFormat="false" ht="15.75" hidden="false" customHeight="false" outlineLevel="0" collapsed="false">
      <c r="A115" s="80" t="n">
        <v>3</v>
      </c>
      <c r="B115" s="68" t="s">
        <v>110</v>
      </c>
      <c r="C115" s="68" t="s">
        <v>38</v>
      </c>
      <c r="D115" s="84" t="n">
        <v>0.001</v>
      </c>
      <c r="E115" s="68" t="str">
        <f aca="false">C115&amp;D115</f>
        <v>MOBP0.001</v>
      </c>
      <c r="F115" s="82" t="n">
        <v>32.268</v>
      </c>
      <c r="G115" s="59"/>
      <c r="H115" s="59"/>
      <c r="I115" s="59"/>
      <c r="J115" s="59"/>
      <c r="K115" s="72"/>
      <c r="L115" s="59"/>
      <c r="M115" s="59"/>
      <c r="N115" s="72"/>
    </row>
    <row r="116" customFormat="false" ht="15.75" hidden="false" customHeight="false" outlineLevel="0" collapsed="false">
      <c r="A116" s="80" t="n">
        <v>3</v>
      </c>
      <c r="B116" s="68" t="s">
        <v>111</v>
      </c>
      <c r="C116" s="68" t="s">
        <v>38</v>
      </c>
      <c r="D116" s="68" t="s">
        <v>131</v>
      </c>
      <c r="E116" s="68" t="str">
        <f aca="false">C116&amp;D116</f>
        <v>MOBPC1</v>
      </c>
      <c r="F116" s="82" t="n">
        <v>23.562</v>
      </c>
      <c r="G116" s="59"/>
      <c r="H116" s="59"/>
      <c r="I116" s="59"/>
      <c r="J116" s="59"/>
      <c r="K116" s="72"/>
      <c r="L116" s="59"/>
      <c r="M116" s="59"/>
      <c r="N116" s="72"/>
    </row>
    <row r="117" customFormat="false" ht="15.75" hidden="false" customHeight="false" outlineLevel="0" collapsed="false">
      <c r="A117" s="80" t="n">
        <v>3</v>
      </c>
      <c r="B117" s="68" t="s">
        <v>112</v>
      </c>
      <c r="C117" s="68" t="s">
        <v>38</v>
      </c>
      <c r="D117" s="68" t="s">
        <v>132</v>
      </c>
      <c r="E117" s="68" t="str">
        <f aca="false">C117&amp;D117</f>
        <v>MOBPC2</v>
      </c>
      <c r="F117" s="82" t="n">
        <v>24.223</v>
      </c>
      <c r="G117" s="59"/>
      <c r="H117" s="59"/>
      <c r="I117" s="59"/>
      <c r="J117" s="59"/>
      <c r="K117" s="72"/>
      <c r="L117" s="59"/>
      <c r="M117" s="59"/>
      <c r="N117" s="72"/>
    </row>
    <row r="118" customFormat="false" ht="15.75" hidden="false" customHeight="false" outlineLevel="0" collapsed="false">
      <c r="A118" s="80" t="n">
        <v>3</v>
      </c>
      <c r="B118" s="68" t="s">
        <v>113</v>
      </c>
      <c r="C118" s="68" t="s">
        <v>38</v>
      </c>
      <c r="D118" s="68" t="s">
        <v>133</v>
      </c>
      <c r="E118" s="68" t="str">
        <f aca="false">C118&amp;D118</f>
        <v>MOBPC3</v>
      </c>
      <c r="F118" s="82" t="n">
        <v>23.437</v>
      </c>
      <c r="G118" s="59"/>
      <c r="H118" s="59"/>
      <c r="I118" s="59"/>
      <c r="J118" s="59"/>
      <c r="K118" s="72"/>
      <c r="L118" s="59"/>
      <c r="M118" s="59"/>
      <c r="N118" s="72"/>
    </row>
    <row r="119" customFormat="false" ht="15.75" hidden="false" customHeight="false" outlineLevel="0" collapsed="false">
      <c r="A119" s="80" t="n">
        <v>3</v>
      </c>
      <c r="B119" s="68" t="s">
        <v>114</v>
      </c>
      <c r="C119" s="68" t="s">
        <v>38</v>
      </c>
      <c r="D119" s="68" t="s">
        <v>105</v>
      </c>
      <c r="E119" s="68" t="str">
        <f aca="false">C119&amp;D119</f>
        <v>MOBPC5</v>
      </c>
      <c r="F119" s="82" t="n">
        <v>24.343</v>
      </c>
      <c r="G119" s="59"/>
      <c r="H119" s="59"/>
      <c r="I119" s="59"/>
      <c r="J119" s="59"/>
      <c r="K119" s="72"/>
      <c r="L119" s="59"/>
      <c r="M119" s="59"/>
      <c r="N119" s="72"/>
    </row>
    <row r="120" customFormat="false" ht="15.75" hidden="false" customHeight="false" outlineLevel="0" collapsed="false">
      <c r="A120" s="80" t="n">
        <v>3</v>
      </c>
      <c r="B120" s="68" t="s">
        <v>115</v>
      </c>
      <c r="C120" s="68" t="s">
        <v>38</v>
      </c>
      <c r="D120" s="68" t="s">
        <v>106</v>
      </c>
      <c r="E120" s="68" t="str">
        <f aca="false">C120&amp;D120</f>
        <v>MOBPC6</v>
      </c>
      <c r="F120" s="82" t="n">
        <v>26.401</v>
      </c>
      <c r="G120" s="59"/>
      <c r="H120" s="59"/>
      <c r="I120" s="59"/>
      <c r="J120" s="59"/>
      <c r="K120" s="72"/>
      <c r="L120" s="59"/>
      <c r="M120" s="59"/>
      <c r="N120" s="72"/>
    </row>
    <row r="121" customFormat="false" ht="15.75" hidden="false" customHeight="false" outlineLevel="0" collapsed="false">
      <c r="A121" s="80" t="n">
        <v>3</v>
      </c>
      <c r="B121" s="68" t="s">
        <v>116</v>
      </c>
      <c r="C121" s="68" t="s">
        <v>38</v>
      </c>
      <c r="D121" s="68" t="s">
        <v>134</v>
      </c>
      <c r="E121" s="68" t="str">
        <f aca="false">C121&amp;D121</f>
        <v>MOBPC7</v>
      </c>
      <c r="F121" s="82" t="n">
        <v>23.878</v>
      </c>
      <c r="G121" s="59"/>
      <c r="H121" s="59"/>
      <c r="I121" s="59"/>
      <c r="J121" s="59"/>
      <c r="K121" s="72"/>
      <c r="L121" s="59"/>
      <c r="M121" s="59"/>
      <c r="N121" s="72"/>
    </row>
    <row r="122" customFormat="false" ht="15.75" hidden="false" customHeight="false" outlineLevel="0" collapsed="false">
      <c r="A122" s="80" t="n">
        <v>3</v>
      </c>
      <c r="B122" s="68" t="s">
        <v>117</v>
      </c>
      <c r="C122" s="68" t="s">
        <v>38</v>
      </c>
      <c r="D122" s="68" t="s">
        <v>135</v>
      </c>
      <c r="E122" s="68" t="str">
        <f aca="false">C122&amp;D122</f>
        <v>MOBPC10</v>
      </c>
      <c r="F122" s="82" t="n">
        <v>23.482</v>
      </c>
      <c r="G122" s="59"/>
      <c r="H122" s="59"/>
      <c r="I122" s="59"/>
      <c r="J122" s="59"/>
      <c r="K122" s="72"/>
      <c r="L122" s="59"/>
      <c r="M122" s="59"/>
      <c r="N122" s="72"/>
    </row>
    <row r="123" customFormat="false" ht="15.75" hidden="false" customHeight="false" outlineLevel="0" collapsed="false">
      <c r="A123" s="80" t="n">
        <v>3</v>
      </c>
      <c r="B123" s="68" t="s">
        <v>118</v>
      </c>
      <c r="C123" s="68" t="s">
        <v>38</v>
      </c>
      <c r="D123" s="68" t="s">
        <v>136</v>
      </c>
      <c r="E123" s="68" t="str">
        <f aca="false">C123&amp;D123</f>
        <v>MOBPC11</v>
      </c>
      <c r="F123" s="82" t="n">
        <v>24.78</v>
      </c>
      <c r="G123" s="59"/>
      <c r="H123" s="59"/>
      <c r="I123" s="59"/>
      <c r="J123" s="59"/>
      <c r="K123" s="72"/>
      <c r="L123" s="59"/>
      <c r="M123" s="59"/>
      <c r="N123" s="72"/>
    </row>
    <row r="124" customFormat="false" ht="15.75" hidden="false" customHeight="false" outlineLevel="0" collapsed="false">
      <c r="A124" s="80" t="n">
        <v>3</v>
      </c>
      <c r="B124" s="68" t="s">
        <v>119</v>
      </c>
      <c r="C124" s="68" t="s">
        <v>38</v>
      </c>
      <c r="D124" s="68" t="s">
        <v>137</v>
      </c>
      <c r="E124" s="68" t="str">
        <f aca="false">C124&amp;D124</f>
        <v>MOBPC12</v>
      </c>
      <c r="F124" s="82" t="n">
        <v>23.611</v>
      </c>
      <c r="G124" s="59"/>
      <c r="H124" s="59"/>
      <c r="I124" s="59"/>
      <c r="J124" s="59"/>
      <c r="K124" s="72"/>
      <c r="L124" s="59"/>
      <c r="M124" s="59"/>
      <c r="N124" s="72"/>
    </row>
    <row r="125" customFormat="false" ht="15.75" hidden="false" customHeight="false" outlineLevel="0" collapsed="false">
      <c r="A125" s="80" t="n">
        <v>3</v>
      </c>
      <c r="B125" s="68" t="s">
        <v>120</v>
      </c>
      <c r="C125" s="68" t="s">
        <v>38</v>
      </c>
      <c r="D125" s="68" t="s">
        <v>138</v>
      </c>
      <c r="E125" s="68" t="str">
        <f aca="false">C125&amp;D125</f>
        <v>MOBPV1</v>
      </c>
      <c r="F125" s="82" t="n">
        <v>24.262</v>
      </c>
      <c r="G125" s="59"/>
      <c r="H125" s="59"/>
      <c r="I125" s="59"/>
      <c r="J125" s="59"/>
      <c r="K125" s="72"/>
      <c r="L125" s="59"/>
      <c r="M125" s="59"/>
      <c r="N125" s="72"/>
    </row>
    <row r="126" customFormat="false" ht="15.75" hidden="false" customHeight="false" outlineLevel="0" collapsed="false">
      <c r="A126" s="80" t="n">
        <v>3</v>
      </c>
      <c r="B126" s="68" t="s">
        <v>121</v>
      </c>
      <c r="C126" s="68" t="s">
        <v>38</v>
      </c>
      <c r="D126" s="68" t="s">
        <v>139</v>
      </c>
      <c r="E126" s="68" t="str">
        <f aca="false">C126&amp;D126</f>
        <v>MOBPV2</v>
      </c>
      <c r="F126" s="82" t="n">
        <v>25.228</v>
      </c>
      <c r="G126" s="59"/>
      <c r="H126" s="59"/>
      <c r="I126" s="59"/>
      <c r="J126" s="59"/>
      <c r="K126" s="72"/>
      <c r="L126" s="59"/>
      <c r="M126" s="59"/>
      <c r="N126" s="72"/>
    </row>
    <row r="127" customFormat="false" ht="15.75" hidden="false" customHeight="false" outlineLevel="0" collapsed="false">
      <c r="A127" s="80" t="n">
        <v>3</v>
      </c>
      <c r="B127" s="68" t="s">
        <v>122</v>
      </c>
      <c r="C127" s="68" t="s">
        <v>38</v>
      </c>
      <c r="D127" s="68" t="s">
        <v>140</v>
      </c>
      <c r="E127" s="68" t="str">
        <f aca="false">C127&amp;D127</f>
        <v>MOBPV3</v>
      </c>
      <c r="F127" s="82" t="n">
        <v>24.565</v>
      </c>
      <c r="G127" s="59"/>
      <c r="H127" s="59"/>
      <c r="I127" s="59"/>
      <c r="J127" s="59"/>
      <c r="K127" s="72"/>
      <c r="L127" s="59"/>
      <c r="M127" s="59"/>
      <c r="N127" s="72"/>
    </row>
    <row r="128" customFormat="false" ht="15.75" hidden="false" customHeight="false" outlineLevel="0" collapsed="false">
      <c r="A128" s="80" t="n">
        <v>3</v>
      </c>
      <c r="B128" s="68" t="s">
        <v>123</v>
      </c>
      <c r="C128" s="68" t="s">
        <v>38</v>
      </c>
      <c r="D128" s="68" t="s">
        <v>141</v>
      </c>
      <c r="E128" s="68" t="str">
        <f aca="false">C128&amp;D128</f>
        <v>MOBPV4</v>
      </c>
      <c r="F128" s="82" t="n">
        <v>24.47</v>
      </c>
      <c r="G128" s="59"/>
      <c r="H128" s="59"/>
      <c r="I128" s="59"/>
      <c r="J128" s="59"/>
      <c r="K128" s="72"/>
      <c r="L128" s="59"/>
      <c r="M128" s="59"/>
      <c r="N128" s="72"/>
    </row>
    <row r="129" customFormat="false" ht="15.75" hidden="false" customHeight="false" outlineLevel="0" collapsed="false">
      <c r="A129" s="80" t="n">
        <v>3</v>
      </c>
      <c r="B129" s="68" t="s">
        <v>124</v>
      </c>
      <c r="C129" s="68" t="s">
        <v>38</v>
      </c>
      <c r="D129" s="68" t="s">
        <v>142</v>
      </c>
      <c r="E129" s="68" t="str">
        <f aca="false">C129&amp;D129</f>
        <v>MOBPV5</v>
      </c>
      <c r="F129" s="82" t="n">
        <v>24.17</v>
      </c>
      <c r="G129" s="59"/>
      <c r="H129" s="59"/>
      <c r="I129" s="59"/>
      <c r="J129" s="59"/>
      <c r="K129" s="72"/>
      <c r="L129" s="59"/>
      <c r="M129" s="59"/>
      <c r="N129" s="72"/>
    </row>
    <row r="130" customFormat="false" ht="15.75" hidden="false" customHeight="false" outlineLevel="0" collapsed="false">
      <c r="A130" s="80" t="n">
        <v>3</v>
      </c>
      <c r="B130" s="68" t="s">
        <v>125</v>
      </c>
      <c r="C130" s="68" t="s">
        <v>38</v>
      </c>
      <c r="D130" s="68" t="s">
        <v>143</v>
      </c>
      <c r="E130" s="68" t="str">
        <f aca="false">C130&amp;D130</f>
        <v>MOBPV7</v>
      </c>
      <c r="F130" s="82" t="n">
        <v>24.802</v>
      </c>
      <c r="G130" s="59"/>
      <c r="H130" s="59"/>
      <c r="I130" s="59"/>
      <c r="J130" s="59"/>
      <c r="K130" s="72"/>
      <c r="L130" s="59"/>
      <c r="M130" s="59"/>
      <c r="N130" s="72"/>
    </row>
    <row r="131" customFormat="false" ht="15.75" hidden="false" customHeight="false" outlineLevel="0" collapsed="false">
      <c r="A131" s="80" t="n">
        <v>3</v>
      </c>
      <c r="B131" s="68" t="s">
        <v>126</v>
      </c>
      <c r="C131" s="68" t="s">
        <v>38</v>
      </c>
      <c r="D131" s="68" t="s">
        <v>144</v>
      </c>
      <c r="E131" s="68" t="str">
        <f aca="false">C131&amp;D131</f>
        <v>MOBPV8</v>
      </c>
      <c r="F131" s="82" t="n">
        <v>23.936</v>
      </c>
      <c r="G131" s="59"/>
      <c r="H131" s="59"/>
      <c r="I131" s="59"/>
      <c r="J131" s="59"/>
      <c r="K131" s="72"/>
      <c r="L131" s="59"/>
      <c r="M131" s="59"/>
      <c r="N131" s="72"/>
    </row>
    <row r="132" customFormat="false" ht="15.75" hidden="false" customHeight="false" outlineLevel="0" collapsed="false">
      <c r="A132" s="80" t="n">
        <v>3</v>
      </c>
      <c r="B132" s="68" t="s">
        <v>127</v>
      </c>
      <c r="C132" s="68" t="s">
        <v>38</v>
      </c>
      <c r="D132" s="68" t="s">
        <v>145</v>
      </c>
      <c r="E132" s="68" t="str">
        <f aca="false">C132&amp;D132</f>
        <v>MOBPV10</v>
      </c>
      <c r="F132" s="82" t="n">
        <v>24.336</v>
      </c>
      <c r="G132" s="59"/>
      <c r="H132" s="59"/>
      <c r="I132" s="59"/>
      <c r="J132" s="59"/>
      <c r="K132" s="72"/>
      <c r="L132" s="59"/>
      <c r="M132" s="59"/>
      <c r="N132" s="72"/>
    </row>
    <row r="133" customFormat="false" ht="15.75" hidden="false" customHeight="false" outlineLevel="0" collapsed="false">
      <c r="A133" s="80" t="n">
        <v>3</v>
      </c>
      <c r="B133" s="68" t="s">
        <v>128</v>
      </c>
      <c r="C133" s="68" t="s">
        <v>38</v>
      </c>
      <c r="D133" s="68" t="s">
        <v>146</v>
      </c>
      <c r="E133" s="68" t="str">
        <f aca="false">C133&amp;D133</f>
        <v>MOBPV12</v>
      </c>
      <c r="F133" s="82" t="n">
        <v>25.432</v>
      </c>
      <c r="G133" s="59"/>
      <c r="H133" s="59"/>
      <c r="I133" s="59"/>
      <c r="J133" s="59"/>
      <c r="K133" s="72"/>
      <c r="L133" s="59"/>
      <c r="M133" s="59"/>
      <c r="N133" s="72"/>
    </row>
    <row r="134" customFormat="false" ht="15.75" hidden="false" customHeight="false" outlineLevel="0" collapsed="false">
      <c r="A134" s="80" t="n">
        <v>4</v>
      </c>
      <c r="B134" s="68" t="s">
        <v>80</v>
      </c>
      <c r="C134" s="68" t="s">
        <v>35</v>
      </c>
      <c r="D134" s="81" t="n">
        <v>1</v>
      </c>
      <c r="E134" s="68" t="str">
        <f aca="false">C134&amp;D134</f>
        <v>PAIPB1</v>
      </c>
      <c r="F134" s="94" t="n">
        <v>21.808</v>
      </c>
      <c r="G134" s="59"/>
      <c r="H134" s="59"/>
      <c r="I134" s="59"/>
      <c r="J134" s="59"/>
      <c r="K134" s="72"/>
      <c r="L134" s="59"/>
      <c r="M134" s="59"/>
      <c r="N134" s="72"/>
    </row>
    <row r="135" customFormat="false" ht="15.75" hidden="false" customHeight="false" outlineLevel="0" collapsed="false">
      <c r="A135" s="80" t="n">
        <v>4</v>
      </c>
      <c r="B135" s="68" t="s">
        <v>85</v>
      </c>
      <c r="C135" s="68" t="s">
        <v>35</v>
      </c>
      <c r="D135" s="81" t="n">
        <v>0.1</v>
      </c>
      <c r="E135" s="68" t="str">
        <f aca="false">C135&amp;D135</f>
        <v>PAIPB0.1</v>
      </c>
      <c r="F135" s="94" t="n">
        <v>25.059</v>
      </c>
      <c r="G135" s="59"/>
      <c r="H135" s="59"/>
      <c r="I135" s="59"/>
      <c r="J135" s="59"/>
      <c r="K135" s="72"/>
      <c r="L135" s="59"/>
      <c r="M135" s="59"/>
      <c r="N135" s="72"/>
    </row>
    <row r="136" customFormat="false" ht="15.75" hidden="false" customHeight="false" outlineLevel="0" collapsed="false">
      <c r="A136" s="80" t="n">
        <v>4</v>
      </c>
      <c r="B136" s="68" t="s">
        <v>86</v>
      </c>
      <c r="C136" s="68" t="s">
        <v>35</v>
      </c>
      <c r="D136" s="81" t="n">
        <v>0.01</v>
      </c>
      <c r="E136" s="68" t="str">
        <f aca="false">C136&amp;D136</f>
        <v>PAIPB0.01</v>
      </c>
      <c r="F136" s="94" t="n">
        <v>28.38</v>
      </c>
      <c r="G136" s="59"/>
      <c r="H136" s="59"/>
      <c r="I136" s="59"/>
      <c r="J136" s="59"/>
      <c r="K136" s="72"/>
      <c r="L136" s="59"/>
      <c r="M136" s="59"/>
      <c r="N136" s="72"/>
    </row>
    <row r="137" customFormat="false" ht="15.75" hidden="false" customHeight="false" outlineLevel="0" collapsed="false">
      <c r="A137" s="80" t="n">
        <v>4</v>
      </c>
      <c r="B137" s="68" t="s">
        <v>87</v>
      </c>
      <c r="C137" s="68" t="s">
        <v>35</v>
      </c>
      <c r="D137" s="84" t="n">
        <v>0.001</v>
      </c>
      <c r="E137" s="68" t="str">
        <f aca="false">C137&amp;D137</f>
        <v>PAIPB0.001</v>
      </c>
      <c r="F137" s="94" t="n">
        <v>31.864</v>
      </c>
      <c r="G137" s="59"/>
      <c r="H137" s="59"/>
      <c r="I137" s="59"/>
      <c r="J137" s="59"/>
      <c r="K137" s="72"/>
      <c r="L137" s="59"/>
      <c r="M137" s="59"/>
      <c r="N137" s="72"/>
    </row>
    <row r="138" customFormat="false" ht="15.75" hidden="false" customHeight="false" outlineLevel="0" collapsed="false">
      <c r="A138" s="80" t="n">
        <v>4</v>
      </c>
      <c r="B138" s="68" t="s">
        <v>89</v>
      </c>
      <c r="C138" s="68" t="s">
        <v>35</v>
      </c>
      <c r="D138" s="68" t="s">
        <v>131</v>
      </c>
      <c r="E138" s="68" t="str">
        <f aca="false">C138&amp;D138</f>
        <v>PAIPBC1</v>
      </c>
      <c r="F138" s="94" t="n">
        <v>22.893</v>
      </c>
      <c r="G138" s="59"/>
      <c r="H138" s="59"/>
      <c r="I138" s="59"/>
      <c r="J138" s="59"/>
      <c r="K138" s="72"/>
      <c r="L138" s="59"/>
      <c r="M138" s="59"/>
      <c r="N138" s="72"/>
    </row>
    <row r="139" customFormat="false" ht="15.75" hidden="false" customHeight="false" outlineLevel="0" collapsed="false">
      <c r="A139" s="80" t="n">
        <v>4</v>
      </c>
      <c r="B139" s="68" t="s">
        <v>90</v>
      </c>
      <c r="C139" s="68" t="s">
        <v>35</v>
      </c>
      <c r="D139" s="68" t="s">
        <v>132</v>
      </c>
      <c r="E139" s="68" t="str">
        <f aca="false">C139&amp;D139</f>
        <v>PAIPBC2</v>
      </c>
      <c r="F139" s="94" t="n">
        <v>22.436</v>
      </c>
      <c r="G139" s="59"/>
      <c r="H139" s="59"/>
      <c r="I139" s="59"/>
      <c r="J139" s="59"/>
      <c r="K139" s="72"/>
      <c r="L139" s="59"/>
      <c r="M139" s="59"/>
      <c r="N139" s="72"/>
    </row>
    <row r="140" customFormat="false" ht="15.75" hidden="false" customHeight="false" outlineLevel="0" collapsed="false">
      <c r="A140" s="80" t="n">
        <v>4</v>
      </c>
      <c r="B140" s="68" t="s">
        <v>91</v>
      </c>
      <c r="C140" s="68" t="s">
        <v>35</v>
      </c>
      <c r="D140" s="68" t="s">
        <v>133</v>
      </c>
      <c r="E140" s="68" t="str">
        <f aca="false">C140&amp;D140</f>
        <v>PAIPBC3</v>
      </c>
      <c r="F140" s="94" t="n">
        <v>22.742</v>
      </c>
      <c r="G140" s="59"/>
      <c r="H140" s="59"/>
      <c r="I140" s="59"/>
      <c r="J140" s="59"/>
      <c r="K140" s="72"/>
      <c r="L140" s="59"/>
      <c r="M140" s="59"/>
      <c r="N140" s="72"/>
    </row>
    <row r="141" customFormat="false" ht="15.75" hidden="false" customHeight="false" outlineLevel="0" collapsed="false">
      <c r="A141" s="80" t="n">
        <v>4</v>
      </c>
      <c r="B141" s="68" t="s">
        <v>92</v>
      </c>
      <c r="C141" s="68" t="s">
        <v>35</v>
      </c>
      <c r="D141" s="68" t="s">
        <v>105</v>
      </c>
      <c r="E141" s="68" t="str">
        <f aca="false">C141&amp;D141</f>
        <v>PAIPBC5</v>
      </c>
      <c r="F141" s="94" t="n">
        <v>23.482</v>
      </c>
      <c r="G141" s="59"/>
      <c r="H141" s="59"/>
      <c r="I141" s="59"/>
      <c r="J141" s="59"/>
      <c r="K141" s="72"/>
      <c r="L141" s="59"/>
      <c r="M141" s="59"/>
      <c r="N141" s="72"/>
    </row>
    <row r="142" customFormat="false" ht="15.75" hidden="false" customHeight="false" outlineLevel="0" collapsed="false">
      <c r="A142" s="80" t="n">
        <v>4</v>
      </c>
      <c r="B142" s="68" t="s">
        <v>93</v>
      </c>
      <c r="C142" s="68" t="s">
        <v>35</v>
      </c>
      <c r="D142" s="68" t="s">
        <v>106</v>
      </c>
      <c r="E142" s="68" t="str">
        <f aca="false">C142&amp;D142</f>
        <v>PAIPBC6</v>
      </c>
      <c r="F142" s="94" t="n">
        <v>24.942</v>
      </c>
      <c r="G142" s="59"/>
      <c r="H142" s="59"/>
      <c r="I142" s="59"/>
      <c r="J142" s="59"/>
      <c r="K142" s="72"/>
      <c r="L142" s="59"/>
      <c r="M142" s="59"/>
      <c r="N142" s="72"/>
    </row>
    <row r="143" customFormat="false" ht="15.75" hidden="false" customHeight="false" outlineLevel="0" collapsed="false">
      <c r="A143" s="80" t="n">
        <v>4</v>
      </c>
      <c r="B143" s="68" t="s">
        <v>94</v>
      </c>
      <c r="C143" s="68" t="s">
        <v>35</v>
      </c>
      <c r="D143" s="68" t="s">
        <v>134</v>
      </c>
      <c r="E143" s="68" t="str">
        <f aca="false">C143&amp;D143</f>
        <v>PAIPBC7</v>
      </c>
      <c r="F143" s="94" t="n">
        <v>22.298</v>
      </c>
      <c r="G143" s="59"/>
      <c r="H143" s="59"/>
      <c r="I143" s="59"/>
      <c r="J143" s="59"/>
      <c r="K143" s="72"/>
      <c r="L143" s="59"/>
      <c r="M143" s="59"/>
      <c r="N143" s="72"/>
    </row>
    <row r="144" customFormat="false" ht="15.75" hidden="false" customHeight="false" outlineLevel="0" collapsed="false">
      <c r="A144" s="80" t="n">
        <v>4</v>
      </c>
      <c r="B144" s="68" t="s">
        <v>95</v>
      </c>
      <c r="C144" s="68" t="s">
        <v>35</v>
      </c>
      <c r="D144" s="68" t="s">
        <v>135</v>
      </c>
      <c r="E144" s="68" t="str">
        <f aca="false">C144&amp;D144</f>
        <v>PAIPBC10</v>
      </c>
      <c r="F144" s="94" t="n">
        <v>23.168</v>
      </c>
      <c r="G144" s="59"/>
      <c r="H144" s="59"/>
      <c r="I144" s="59"/>
      <c r="J144" s="59"/>
      <c r="K144" s="72"/>
      <c r="L144" s="59"/>
      <c r="M144" s="59"/>
      <c r="N144" s="72"/>
    </row>
    <row r="145" customFormat="false" ht="15.75" hidden="false" customHeight="false" outlineLevel="0" collapsed="false">
      <c r="A145" s="80" t="n">
        <v>4</v>
      </c>
      <c r="B145" s="68" t="s">
        <v>96</v>
      </c>
      <c r="C145" s="68" t="s">
        <v>35</v>
      </c>
      <c r="D145" s="68" t="s">
        <v>136</v>
      </c>
      <c r="E145" s="68" t="str">
        <f aca="false">C145&amp;D145</f>
        <v>PAIPBC11</v>
      </c>
      <c r="F145" s="94" t="n">
        <v>23.205</v>
      </c>
      <c r="G145" s="59"/>
      <c r="H145" s="59"/>
      <c r="I145" s="59"/>
      <c r="J145" s="59"/>
      <c r="K145" s="72"/>
      <c r="L145" s="59"/>
      <c r="M145" s="59"/>
      <c r="N145" s="72"/>
    </row>
    <row r="146" customFormat="false" ht="15.75" hidden="false" customHeight="false" outlineLevel="0" collapsed="false">
      <c r="A146" s="80" t="n">
        <v>4</v>
      </c>
      <c r="B146" s="68" t="s">
        <v>97</v>
      </c>
      <c r="C146" s="68" t="s">
        <v>35</v>
      </c>
      <c r="D146" s="68" t="s">
        <v>137</v>
      </c>
      <c r="E146" s="68" t="str">
        <f aca="false">C146&amp;D146</f>
        <v>PAIPBC12</v>
      </c>
      <c r="F146" s="94" t="n">
        <v>23.213</v>
      </c>
      <c r="G146" s="59"/>
      <c r="H146" s="59"/>
      <c r="I146" s="59"/>
      <c r="J146" s="59"/>
      <c r="K146" s="72"/>
      <c r="L146" s="59"/>
      <c r="M146" s="59"/>
      <c r="N146" s="72"/>
    </row>
    <row r="147" customFormat="false" ht="15.75" hidden="false" customHeight="false" outlineLevel="0" collapsed="false">
      <c r="A147" s="80" t="n">
        <v>4</v>
      </c>
      <c r="B147" s="68" t="s">
        <v>98</v>
      </c>
      <c r="C147" s="68" t="s">
        <v>35</v>
      </c>
      <c r="D147" s="68" t="s">
        <v>138</v>
      </c>
      <c r="E147" s="68" t="str">
        <f aca="false">C147&amp;D147</f>
        <v>PAIPBV1</v>
      </c>
      <c r="F147" s="94" t="n">
        <v>23.01</v>
      </c>
      <c r="G147" s="59"/>
      <c r="H147" s="59"/>
      <c r="I147" s="59"/>
      <c r="J147" s="59"/>
      <c r="K147" s="72"/>
      <c r="L147" s="59"/>
      <c r="M147" s="59"/>
      <c r="N147" s="72"/>
    </row>
    <row r="148" customFormat="false" ht="15.75" hidden="false" customHeight="false" outlineLevel="0" collapsed="false">
      <c r="A148" s="80" t="n">
        <v>4</v>
      </c>
      <c r="B148" s="68" t="s">
        <v>99</v>
      </c>
      <c r="C148" s="68" t="s">
        <v>35</v>
      </c>
      <c r="D148" s="68" t="s">
        <v>139</v>
      </c>
      <c r="E148" s="68" t="str">
        <f aca="false">C148&amp;D148</f>
        <v>PAIPBV2</v>
      </c>
      <c r="F148" s="94" t="n">
        <v>22.655</v>
      </c>
      <c r="G148" s="59"/>
      <c r="H148" s="59"/>
      <c r="I148" s="59"/>
      <c r="J148" s="59"/>
      <c r="K148" s="72"/>
      <c r="L148" s="59"/>
      <c r="M148" s="59"/>
      <c r="N148" s="72"/>
    </row>
    <row r="149" customFormat="false" ht="15.75" hidden="false" customHeight="false" outlineLevel="0" collapsed="false">
      <c r="A149" s="80" t="n">
        <v>4</v>
      </c>
      <c r="B149" s="68" t="s">
        <v>100</v>
      </c>
      <c r="C149" s="68" t="s">
        <v>35</v>
      </c>
      <c r="D149" s="68" t="s">
        <v>140</v>
      </c>
      <c r="E149" s="68" t="str">
        <f aca="false">C149&amp;D149</f>
        <v>PAIPBV3</v>
      </c>
      <c r="F149" s="94" t="n">
        <v>22.47</v>
      </c>
      <c r="G149" s="59"/>
      <c r="H149" s="59"/>
      <c r="I149" s="59"/>
      <c r="J149" s="59"/>
      <c r="K149" s="72"/>
      <c r="L149" s="59"/>
      <c r="M149" s="59"/>
      <c r="N149" s="72"/>
    </row>
    <row r="150" customFormat="false" ht="15.75" hidden="false" customHeight="false" outlineLevel="0" collapsed="false">
      <c r="A150" s="80" t="n">
        <v>4</v>
      </c>
      <c r="B150" s="68" t="s">
        <v>101</v>
      </c>
      <c r="C150" s="68" t="s">
        <v>35</v>
      </c>
      <c r="D150" s="68" t="s">
        <v>141</v>
      </c>
      <c r="E150" s="68" t="str">
        <f aca="false">C150&amp;D150</f>
        <v>PAIPBV4</v>
      </c>
      <c r="F150" s="94" t="n">
        <v>23.017</v>
      </c>
      <c r="G150" s="59"/>
      <c r="H150" s="59"/>
      <c r="I150" s="59"/>
      <c r="J150" s="59"/>
      <c r="K150" s="72"/>
      <c r="L150" s="59"/>
      <c r="M150" s="59"/>
      <c r="N150" s="72"/>
    </row>
    <row r="151" customFormat="false" ht="15.75" hidden="false" customHeight="false" outlineLevel="0" collapsed="false">
      <c r="A151" s="80" t="n">
        <v>4</v>
      </c>
      <c r="B151" s="68" t="s">
        <v>102</v>
      </c>
      <c r="C151" s="68" t="s">
        <v>35</v>
      </c>
      <c r="D151" s="68" t="s">
        <v>142</v>
      </c>
      <c r="E151" s="68" t="str">
        <f aca="false">C151&amp;D151</f>
        <v>PAIPBV5</v>
      </c>
      <c r="F151" s="94" t="n">
        <v>21.754</v>
      </c>
      <c r="G151" s="59"/>
      <c r="H151" s="59"/>
      <c r="I151" s="59"/>
      <c r="J151" s="59"/>
      <c r="K151" s="72"/>
      <c r="L151" s="59"/>
      <c r="M151" s="59"/>
      <c r="N151" s="72"/>
    </row>
    <row r="152" customFormat="false" ht="15.75" hidden="false" customHeight="false" outlineLevel="0" collapsed="false">
      <c r="A152" s="80" t="n">
        <v>4</v>
      </c>
      <c r="B152" s="68" t="s">
        <v>103</v>
      </c>
      <c r="C152" s="68" t="s">
        <v>35</v>
      </c>
      <c r="D152" s="68" t="s">
        <v>143</v>
      </c>
      <c r="E152" s="68" t="str">
        <f aca="false">C152&amp;D152</f>
        <v>PAIPBV7</v>
      </c>
      <c r="F152" s="94" t="n">
        <v>22.535</v>
      </c>
      <c r="G152" s="59"/>
      <c r="H152" s="59"/>
      <c r="I152" s="59"/>
      <c r="J152" s="59"/>
      <c r="K152" s="72"/>
      <c r="L152" s="59"/>
      <c r="M152" s="59"/>
      <c r="N152" s="72"/>
    </row>
    <row r="153" customFormat="false" ht="15.75" hidden="false" customHeight="false" outlineLevel="0" collapsed="false">
      <c r="A153" s="80" t="n">
        <v>4</v>
      </c>
      <c r="B153" s="68" t="s">
        <v>104</v>
      </c>
      <c r="C153" s="68" t="s">
        <v>35</v>
      </c>
      <c r="D153" s="68" t="s">
        <v>144</v>
      </c>
      <c r="E153" s="68" t="str">
        <f aca="false">C153&amp;D153</f>
        <v>PAIPBV8</v>
      </c>
      <c r="F153" s="94" t="n">
        <v>22.621</v>
      </c>
      <c r="G153" s="59"/>
      <c r="H153" s="59"/>
      <c r="I153" s="59"/>
      <c r="J153" s="59"/>
      <c r="K153" s="72"/>
      <c r="L153" s="59"/>
      <c r="M153" s="59"/>
      <c r="N153" s="72"/>
    </row>
    <row r="154" customFormat="false" ht="15.75" hidden="false" customHeight="false" outlineLevel="0" collapsed="false">
      <c r="A154" s="80" t="n">
        <v>4</v>
      </c>
      <c r="B154" s="68" t="s">
        <v>105</v>
      </c>
      <c r="C154" s="68" t="s">
        <v>35</v>
      </c>
      <c r="D154" s="68" t="s">
        <v>145</v>
      </c>
      <c r="E154" s="68" t="str">
        <f aca="false">C154&amp;D154</f>
        <v>PAIPBV10</v>
      </c>
      <c r="F154" s="94" t="n">
        <v>23.228</v>
      </c>
      <c r="G154" s="59"/>
      <c r="H154" s="59"/>
      <c r="I154" s="59"/>
      <c r="J154" s="59"/>
      <c r="K154" s="72"/>
      <c r="L154" s="59"/>
      <c r="M154" s="59"/>
      <c r="N154" s="72"/>
    </row>
    <row r="155" customFormat="false" ht="15.75" hidden="false" customHeight="false" outlineLevel="0" collapsed="false">
      <c r="A155" s="80" t="n">
        <v>4</v>
      </c>
      <c r="B155" s="68" t="s">
        <v>106</v>
      </c>
      <c r="C155" s="68" t="s">
        <v>35</v>
      </c>
      <c r="D155" s="68" t="s">
        <v>146</v>
      </c>
      <c r="E155" s="68" t="str">
        <f aca="false">C155&amp;D155</f>
        <v>PAIPBV12</v>
      </c>
      <c r="F155" s="94" t="n">
        <v>23.271</v>
      </c>
      <c r="G155" s="59"/>
      <c r="H155" s="59"/>
      <c r="I155" s="59"/>
      <c r="J155" s="59"/>
      <c r="K155" s="72"/>
      <c r="L155" s="59"/>
      <c r="M155" s="59"/>
      <c r="N155" s="72"/>
    </row>
    <row r="156" customFormat="false" ht="15.75" hidden="false" customHeight="false" outlineLevel="0" collapsed="false">
      <c r="A156" s="80" t="n">
        <v>4</v>
      </c>
      <c r="B156" s="68" t="s">
        <v>107</v>
      </c>
      <c r="C156" s="68" t="s">
        <v>36</v>
      </c>
      <c r="D156" s="81" t="n">
        <v>1</v>
      </c>
      <c r="E156" s="68" t="str">
        <f aca="false">C156&amp;D156</f>
        <v>SLC27A61</v>
      </c>
      <c r="F156" s="94" t="n">
        <v>30.65</v>
      </c>
      <c r="G156" s="59"/>
      <c r="H156" s="59"/>
      <c r="I156" s="59"/>
      <c r="J156" s="59"/>
      <c r="K156" s="72"/>
      <c r="L156" s="59"/>
      <c r="M156" s="59"/>
      <c r="N156" s="72"/>
    </row>
    <row r="157" customFormat="false" ht="15.75" hidden="false" customHeight="false" outlineLevel="0" collapsed="false">
      <c r="A157" s="80" t="n">
        <v>4</v>
      </c>
      <c r="B157" s="68" t="s">
        <v>108</v>
      </c>
      <c r="C157" s="68" t="s">
        <v>36</v>
      </c>
      <c r="D157" s="81" t="n">
        <v>0.1</v>
      </c>
      <c r="E157" s="68" t="str">
        <f aca="false">C157&amp;D157</f>
        <v>SLC27A60.1</v>
      </c>
      <c r="F157" s="94" t="n">
        <v>33.799</v>
      </c>
      <c r="G157" s="59"/>
      <c r="H157" s="59"/>
      <c r="I157" s="59"/>
      <c r="J157" s="59"/>
      <c r="K157" s="72"/>
      <c r="L157" s="59"/>
      <c r="M157" s="59"/>
      <c r="N157" s="72"/>
    </row>
    <row r="158" customFormat="false" ht="15.75" hidden="false" customHeight="false" outlineLevel="0" collapsed="false">
      <c r="A158" s="80" t="n">
        <v>4</v>
      </c>
      <c r="B158" s="68" t="s">
        <v>109</v>
      </c>
      <c r="C158" s="68" t="s">
        <v>36</v>
      </c>
      <c r="D158" s="81" t="n">
        <v>0.01</v>
      </c>
      <c r="E158" s="68" t="str">
        <f aca="false">C158&amp;D158</f>
        <v>SLC27A60.01</v>
      </c>
      <c r="F158" s="94" t="n">
        <v>36.702</v>
      </c>
      <c r="G158" s="59"/>
      <c r="H158" s="59"/>
      <c r="I158" s="59"/>
      <c r="J158" s="59"/>
      <c r="K158" s="72"/>
      <c r="L158" s="59"/>
      <c r="M158" s="59"/>
      <c r="N158" s="72"/>
    </row>
    <row r="159" customFormat="false" ht="15.75" hidden="false" customHeight="false" outlineLevel="0" collapsed="false">
      <c r="A159" s="80" t="n">
        <v>4</v>
      </c>
      <c r="B159" s="68" t="s">
        <v>110</v>
      </c>
      <c r="C159" s="68" t="s">
        <v>36</v>
      </c>
      <c r="D159" s="84" t="n">
        <v>0.001</v>
      </c>
      <c r="E159" s="68" t="str">
        <f aca="false">C159&amp;D159</f>
        <v>SLC27A60.001</v>
      </c>
      <c r="F159" s="94" t="s">
        <v>88</v>
      </c>
      <c r="G159" s="59"/>
      <c r="H159" s="59"/>
      <c r="I159" s="59"/>
      <c r="J159" s="59"/>
      <c r="K159" s="72"/>
      <c r="L159" s="59"/>
      <c r="M159" s="59"/>
      <c r="N159" s="72"/>
    </row>
    <row r="160" customFormat="false" ht="15.75" hidden="false" customHeight="false" outlineLevel="0" collapsed="false">
      <c r="A160" s="80" t="n">
        <v>4</v>
      </c>
      <c r="B160" s="68" t="s">
        <v>111</v>
      </c>
      <c r="C160" s="68" t="s">
        <v>36</v>
      </c>
      <c r="D160" s="68" t="s">
        <v>131</v>
      </c>
      <c r="E160" s="68" t="str">
        <f aca="false">C160&amp;D160</f>
        <v>SLC27A6C1</v>
      </c>
      <c r="F160" s="94" t="n">
        <v>30.779</v>
      </c>
      <c r="G160" s="59"/>
      <c r="H160" s="59"/>
      <c r="I160" s="59"/>
      <c r="J160" s="59"/>
      <c r="K160" s="72"/>
      <c r="L160" s="59"/>
      <c r="M160" s="59"/>
      <c r="N160" s="72"/>
    </row>
    <row r="161" customFormat="false" ht="15.75" hidden="false" customHeight="false" outlineLevel="0" collapsed="false">
      <c r="A161" s="80" t="n">
        <v>4</v>
      </c>
      <c r="B161" s="68" t="s">
        <v>112</v>
      </c>
      <c r="C161" s="68" t="s">
        <v>36</v>
      </c>
      <c r="D161" s="68" t="s">
        <v>132</v>
      </c>
      <c r="E161" s="68" t="str">
        <f aca="false">C161&amp;D161</f>
        <v>SLC27A6C2</v>
      </c>
      <c r="F161" s="94" t="n">
        <v>30.746</v>
      </c>
      <c r="G161" s="59"/>
      <c r="H161" s="59"/>
      <c r="I161" s="59"/>
      <c r="J161" s="59"/>
      <c r="K161" s="72"/>
      <c r="L161" s="59"/>
      <c r="M161" s="59"/>
      <c r="N161" s="72"/>
    </row>
    <row r="162" customFormat="false" ht="15.75" hidden="false" customHeight="false" outlineLevel="0" collapsed="false">
      <c r="A162" s="80" t="n">
        <v>4</v>
      </c>
      <c r="B162" s="68" t="s">
        <v>113</v>
      </c>
      <c r="C162" s="68" t="s">
        <v>36</v>
      </c>
      <c r="D162" s="68" t="s">
        <v>133</v>
      </c>
      <c r="E162" s="68" t="str">
        <f aca="false">C162&amp;D162</f>
        <v>SLC27A6C3</v>
      </c>
      <c r="F162" s="94" t="n">
        <v>31.359</v>
      </c>
      <c r="G162" s="59"/>
      <c r="H162" s="59"/>
      <c r="I162" s="59"/>
      <c r="J162" s="59"/>
      <c r="K162" s="72"/>
      <c r="L162" s="59"/>
      <c r="M162" s="59"/>
      <c r="N162" s="72"/>
    </row>
    <row r="163" customFormat="false" ht="15.75" hidden="false" customHeight="false" outlineLevel="0" collapsed="false">
      <c r="A163" s="80" t="n">
        <v>4</v>
      </c>
      <c r="B163" s="68" t="s">
        <v>114</v>
      </c>
      <c r="C163" s="68" t="s">
        <v>36</v>
      </c>
      <c r="D163" s="68" t="s">
        <v>105</v>
      </c>
      <c r="E163" s="68" t="str">
        <f aca="false">C163&amp;D163</f>
        <v>SLC27A6C5</v>
      </c>
      <c r="F163" s="94" t="n">
        <v>32.103</v>
      </c>
      <c r="G163" s="59"/>
      <c r="H163" s="59"/>
      <c r="I163" s="59"/>
      <c r="J163" s="59"/>
      <c r="K163" s="72"/>
      <c r="L163" s="59"/>
      <c r="M163" s="59"/>
      <c r="N163" s="72"/>
    </row>
    <row r="164" customFormat="false" ht="15.75" hidden="false" customHeight="false" outlineLevel="0" collapsed="false">
      <c r="A164" s="80" t="n">
        <v>4</v>
      </c>
      <c r="B164" s="68" t="s">
        <v>115</v>
      </c>
      <c r="C164" s="68" t="s">
        <v>36</v>
      </c>
      <c r="D164" s="68" t="s">
        <v>106</v>
      </c>
      <c r="E164" s="68" t="str">
        <f aca="false">C164&amp;D164</f>
        <v>SLC27A6C6</v>
      </c>
      <c r="F164" s="94" t="n">
        <v>33.279</v>
      </c>
      <c r="G164" s="59"/>
      <c r="H164" s="59"/>
      <c r="I164" s="59"/>
      <c r="J164" s="59"/>
      <c r="K164" s="72"/>
      <c r="L164" s="59"/>
      <c r="M164" s="59"/>
      <c r="N164" s="72"/>
    </row>
    <row r="165" customFormat="false" ht="15.75" hidden="false" customHeight="false" outlineLevel="0" collapsed="false">
      <c r="A165" s="80" t="n">
        <v>4</v>
      </c>
      <c r="B165" s="68" t="s">
        <v>116</v>
      </c>
      <c r="C165" s="68" t="s">
        <v>36</v>
      </c>
      <c r="D165" s="68" t="s">
        <v>134</v>
      </c>
      <c r="E165" s="68" t="str">
        <f aca="false">C165&amp;D165</f>
        <v>SLC27A6C7</v>
      </c>
      <c r="F165" s="94" t="n">
        <v>31.185</v>
      </c>
      <c r="G165" s="59"/>
      <c r="H165" s="59"/>
      <c r="I165" s="59"/>
      <c r="J165" s="59"/>
      <c r="K165" s="72"/>
      <c r="L165" s="59"/>
      <c r="M165" s="59"/>
      <c r="N165" s="72"/>
    </row>
    <row r="166" customFormat="false" ht="15.75" hidden="false" customHeight="false" outlineLevel="0" collapsed="false">
      <c r="A166" s="80" t="n">
        <v>4</v>
      </c>
      <c r="B166" s="68" t="s">
        <v>117</v>
      </c>
      <c r="C166" s="68" t="s">
        <v>36</v>
      </c>
      <c r="D166" s="68" t="s">
        <v>135</v>
      </c>
      <c r="E166" s="68" t="str">
        <f aca="false">C166&amp;D166</f>
        <v>SLC27A6C10</v>
      </c>
      <c r="F166" s="94" t="n">
        <v>31.187</v>
      </c>
      <c r="G166" s="59"/>
      <c r="H166" s="59"/>
      <c r="I166" s="59"/>
      <c r="J166" s="59"/>
      <c r="K166" s="72"/>
      <c r="L166" s="59"/>
      <c r="M166" s="59"/>
      <c r="N166" s="72"/>
    </row>
    <row r="167" customFormat="false" ht="15.75" hidden="false" customHeight="false" outlineLevel="0" collapsed="false">
      <c r="A167" s="80" t="n">
        <v>4</v>
      </c>
      <c r="B167" s="68" t="s">
        <v>118</v>
      </c>
      <c r="C167" s="68" t="s">
        <v>36</v>
      </c>
      <c r="D167" s="68" t="s">
        <v>136</v>
      </c>
      <c r="E167" s="68" t="str">
        <f aca="false">C167&amp;D167</f>
        <v>SLC27A6C11</v>
      </c>
      <c r="F167" s="94" t="n">
        <v>31.809</v>
      </c>
      <c r="G167" s="59"/>
      <c r="H167" s="59"/>
      <c r="I167" s="59"/>
      <c r="J167" s="59"/>
      <c r="K167" s="72"/>
      <c r="L167" s="59"/>
      <c r="M167" s="59"/>
      <c r="N167" s="72"/>
    </row>
    <row r="168" customFormat="false" ht="15.75" hidden="false" customHeight="false" outlineLevel="0" collapsed="false">
      <c r="A168" s="80" t="n">
        <v>4</v>
      </c>
      <c r="B168" s="68" t="s">
        <v>119</v>
      </c>
      <c r="C168" s="68" t="s">
        <v>36</v>
      </c>
      <c r="D168" s="68" t="s">
        <v>137</v>
      </c>
      <c r="E168" s="68" t="str">
        <f aca="false">C168&amp;D168</f>
        <v>SLC27A6C12</v>
      </c>
      <c r="F168" s="94" t="n">
        <v>31.469</v>
      </c>
      <c r="G168" s="59"/>
      <c r="H168" s="59"/>
      <c r="I168" s="59"/>
      <c r="J168" s="59"/>
      <c r="K168" s="72"/>
      <c r="L168" s="59"/>
      <c r="M168" s="59"/>
      <c r="N168" s="72"/>
    </row>
    <row r="169" customFormat="false" ht="15.75" hidden="false" customHeight="false" outlineLevel="0" collapsed="false">
      <c r="A169" s="80" t="n">
        <v>4</v>
      </c>
      <c r="B169" s="68" t="s">
        <v>120</v>
      </c>
      <c r="C169" s="68" t="s">
        <v>36</v>
      </c>
      <c r="D169" s="68" t="s">
        <v>138</v>
      </c>
      <c r="E169" s="68" t="str">
        <f aca="false">C169&amp;D169</f>
        <v>SLC27A6V1</v>
      </c>
      <c r="F169" s="94" t="n">
        <v>31.498</v>
      </c>
      <c r="G169" s="59"/>
      <c r="H169" s="59"/>
      <c r="I169" s="59"/>
      <c r="J169" s="59"/>
      <c r="K169" s="72"/>
      <c r="L169" s="59"/>
      <c r="M169" s="59"/>
      <c r="N169" s="72"/>
    </row>
    <row r="170" customFormat="false" ht="15.75" hidden="false" customHeight="false" outlineLevel="0" collapsed="false">
      <c r="A170" s="80" t="n">
        <v>4</v>
      </c>
      <c r="B170" s="68" t="s">
        <v>121</v>
      </c>
      <c r="C170" s="68" t="s">
        <v>36</v>
      </c>
      <c r="D170" s="68" t="s">
        <v>139</v>
      </c>
      <c r="E170" s="68" t="str">
        <f aca="false">C170&amp;D170</f>
        <v>SLC27A6V2</v>
      </c>
      <c r="F170" s="94" t="n">
        <v>31.662</v>
      </c>
      <c r="G170" s="59"/>
      <c r="H170" s="59"/>
      <c r="I170" s="59"/>
      <c r="J170" s="59"/>
      <c r="K170" s="72"/>
      <c r="L170" s="59"/>
      <c r="M170" s="59"/>
      <c r="N170" s="72"/>
    </row>
    <row r="171" customFormat="false" ht="15.75" hidden="false" customHeight="false" outlineLevel="0" collapsed="false">
      <c r="A171" s="80" t="n">
        <v>4</v>
      </c>
      <c r="B171" s="68" t="s">
        <v>122</v>
      </c>
      <c r="C171" s="68" t="s">
        <v>36</v>
      </c>
      <c r="D171" s="68" t="s">
        <v>140</v>
      </c>
      <c r="E171" s="68" t="str">
        <f aca="false">C171&amp;D171</f>
        <v>SLC27A6V3</v>
      </c>
      <c r="F171" s="94" t="n">
        <v>31.102</v>
      </c>
      <c r="G171" s="59"/>
      <c r="H171" s="59"/>
      <c r="I171" s="59"/>
      <c r="J171" s="59"/>
      <c r="K171" s="72"/>
      <c r="L171" s="59"/>
      <c r="M171" s="59"/>
      <c r="N171" s="72"/>
    </row>
    <row r="172" customFormat="false" ht="15.75" hidden="false" customHeight="false" outlineLevel="0" collapsed="false">
      <c r="A172" s="80" t="n">
        <v>4</v>
      </c>
      <c r="B172" s="68" t="s">
        <v>123</v>
      </c>
      <c r="C172" s="68" t="s">
        <v>36</v>
      </c>
      <c r="D172" s="68" t="s">
        <v>141</v>
      </c>
      <c r="E172" s="68" t="str">
        <f aca="false">C172&amp;D172</f>
        <v>SLC27A6V4</v>
      </c>
      <c r="F172" s="94" t="n">
        <v>31.785</v>
      </c>
      <c r="G172" s="59"/>
      <c r="H172" s="59"/>
      <c r="I172" s="59"/>
      <c r="J172" s="59"/>
      <c r="K172" s="72"/>
      <c r="L172" s="59"/>
      <c r="M172" s="59"/>
      <c r="N172" s="72"/>
    </row>
    <row r="173" customFormat="false" ht="15.75" hidden="false" customHeight="false" outlineLevel="0" collapsed="false">
      <c r="A173" s="80" t="n">
        <v>4</v>
      </c>
      <c r="B173" s="68" t="s">
        <v>124</v>
      </c>
      <c r="C173" s="68" t="s">
        <v>36</v>
      </c>
      <c r="D173" s="68" t="s">
        <v>142</v>
      </c>
      <c r="E173" s="68" t="str">
        <f aca="false">C173&amp;D173</f>
        <v>SLC27A6V5</v>
      </c>
      <c r="F173" s="94" t="n">
        <v>30.372</v>
      </c>
      <c r="G173" s="59"/>
      <c r="H173" s="59"/>
      <c r="I173" s="59"/>
      <c r="J173" s="59"/>
      <c r="K173" s="72"/>
      <c r="L173" s="59"/>
      <c r="M173" s="59"/>
      <c r="N173" s="72"/>
    </row>
    <row r="174" customFormat="false" ht="15.75" hidden="false" customHeight="false" outlineLevel="0" collapsed="false">
      <c r="A174" s="80" t="n">
        <v>4</v>
      </c>
      <c r="B174" s="68" t="s">
        <v>125</v>
      </c>
      <c r="C174" s="68" t="s">
        <v>36</v>
      </c>
      <c r="D174" s="68" t="s">
        <v>143</v>
      </c>
      <c r="E174" s="68" t="str">
        <f aca="false">C174&amp;D174</f>
        <v>SLC27A6V7</v>
      </c>
      <c r="F174" s="94" t="n">
        <v>31.289</v>
      </c>
      <c r="G174" s="59"/>
      <c r="H174" s="59"/>
      <c r="I174" s="59"/>
      <c r="J174" s="59"/>
      <c r="K174" s="72"/>
      <c r="L174" s="59"/>
      <c r="M174" s="59"/>
      <c r="N174" s="72"/>
    </row>
    <row r="175" customFormat="false" ht="15.75" hidden="false" customHeight="false" outlineLevel="0" collapsed="false">
      <c r="A175" s="80" t="n">
        <v>4</v>
      </c>
      <c r="B175" s="68" t="s">
        <v>126</v>
      </c>
      <c r="C175" s="68" t="s">
        <v>36</v>
      </c>
      <c r="D175" s="68" t="s">
        <v>144</v>
      </c>
      <c r="E175" s="68" t="str">
        <f aca="false">C175&amp;D175</f>
        <v>SLC27A6V8</v>
      </c>
      <c r="F175" s="94" t="n">
        <v>33.594</v>
      </c>
      <c r="G175" s="59"/>
      <c r="H175" s="59"/>
      <c r="I175" s="59"/>
      <c r="J175" s="59"/>
      <c r="K175" s="72"/>
      <c r="L175" s="59"/>
      <c r="M175" s="59"/>
      <c r="N175" s="72"/>
    </row>
    <row r="176" customFormat="false" ht="15.75" hidden="false" customHeight="false" outlineLevel="0" collapsed="false">
      <c r="A176" s="80" t="n">
        <v>4</v>
      </c>
      <c r="B176" s="68" t="s">
        <v>127</v>
      </c>
      <c r="C176" s="68" t="s">
        <v>36</v>
      </c>
      <c r="D176" s="68" t="s">
        <v>145</v>
      </c>
      <c r="E176" s="68" t="str">
        <f aca="false">C176&amp;D176</f>
        <v>SLC27A6V10</v>
      </c>
      <c r="F176" s="94" t="n">
        <v>31.86</v>
      </c>
      <c r="G176" s="59"/>
      <c r="H176" s="59"/>
      <c r="I176" s="59"/>
      <c r="J176" s="59"/>
      <c r="K176" s="72"/>
      <c r="L176" s="59"/>
      <c r="M176" s="59"/>
      <c r="N176" s="72"/>
    </row>
    <row r="177" customFormat="false" ht="15.75" hidden="false" customHeight="false" outlineLevel="0" collapsed="false">
      <c r="A177" s="80" t="n">
        <v>4</v>
      </c>
      <c r="B177" s="68" t="s">
        <v>128</v>
      </c>
      <c r="C177" s="68" t="s">
        <v>36</v>
      </c>
      <c r="D177" s="68" t="s">
        <v>146</v>
      </c>
      <c r="E177" s="68" t="str">
        <f aca="false">C177&amp;D177</f>
        <v>SLC27A6V12</v>
      </c>
      <c r="F177" s="94" t="n">
        <v>32.264</v>
      </c>
      <c r="G177" s="59"/>
      <c r="H177" s="59"/>
      <c r="I177" s="59"/>
      <c r="J177" s="59"/>
      <c r="K177" s="72"/>
      <c r="L177" s="59"/>
      <c r="M177" s="59"/>
      <c r="N177" s="72"/>
    </row>
    <row r="178" customFormat="false" ht="15.75" hidden="false" customHeight="false" outlineLevel="0" collapsed="false">
      <c r="A178" s="80" t="n">
        <v>5</v>
      </c>
      <c r="B178" s="68" t="s">
        <v>80</v>
      </c>
      <c r="C178" s="68" t="s">
        <v>39</v>
      </c>
      <c r="D178" s="81" t="n">
        <v>1</v>
      </c>
      <c r="E178" s="68" t="str">
        <f aca="false">C178&amp;D178</f>
        <v>MBP1</v>
      </c>
      <c r="F178" s="82" t="n">
        <v>18.982</v>
      </c>
      <c r="G178" s="59"/>
      <c r="H178" s="59"/>
      <c r="I178" s="59"/>
      <c r="J178" s="59"/>
      <c r="K178" s="72"/>
      <c r="L178" s="59"/>
      <c r="M178" s="59"/>
      <c r="N178" s="72"/>
    </row>
    <row r="179" customFormat="false" ht="15.75" hidden="false" customHeight="false" outlineLevel="0" collapsed="false">
      <c r="A179" s="80" t="n">
        <v>5</v>
      </c>
      <c r="B179" s="68" t="s">
        <v>85</v>
      </c>
      <c r="C179" s="68" t="s">
        <v>39</v>
      </c>
      <c r="D179" s="81" t="n">
        <v>0.1</v>
      </c>
      <c r="E179" s="68" t="str">
        <f aca="false">C179&amp;D179</f>
        <v>MBP0.1</v>
      </c>
      <c r="F179" s="82" t="n">
        <v>22.236</v>
      </c>
      <c r="G179" s="59"/>
      <c r="H179" s="59"/>
      <c r="I179" s="59"/>
      <c r="J179" s="59"/>
      <c r="K179" s="72"/>
      <c r="L179" s="59"/>
      <c r="M179" s="59"/>
      <c r="N179" s="72"/>
    </row>
    <row r="180" customFormat="false" ht="15.75" hidden="false" customHeight="false" outlineLevel="0" collapsed="false">
      <c r="A180" s="80" t="n">
        <v>5</v>
      </c>
      <c r="B180" s="68" t="s">
        <v>86</v>
      </c>
      <c r="C180" s="68" t="s">
        <v>39</v>
      </c>
      <c r="D180" s="81" t="n">
        <v>0.01</v>
      </c>
      <c r="E180" s="68" t="str">
        <f aca="false">C180&amp;D180</f>
        <v>MBP0.01</v>
      </c>
      <c r="F180" s="82" t="n">
        <v>25.674</v>
      </c>
      <c r="G180" s="59"/>
      <c r="H180" s="59"/>
      <c r="I180" s="59"/>
      <c r="J180" s="59"/>
      <c r="K180" s="72"/>
      <c r="L180" s="59"/>
      <c r="M180" s="59"/>
      <c r="N180" s="72"/>
    </row>
    <row r="181" customFormat="false" ht="15.75" hidden="false" customHeight="false" outlineLevel="0" collapsed="false">
      <c r="A181" s="80" t="n">
        <v>5</v>
      </c>
      <c r="B181" s="68" t="s">
        <v>87</v>
      </c>
      <c r="C181" s="68" t="s">
        <v>39</v>
      </c>
      <c r="D181" s="84" t="n">
        <v>0.001</v>
      </c>
      <c r="E181" s="68" t="str">
        <f aca="false">C181&amp;D181</f>
        <v>MBP0.001</v>
      </c>
      <c r="F181" s="82" t="n">
        <v>28.841</v>
      </c>
      <c r="G181" s="59"/>
      <c r="H181" s="59"/>
      <c r="I181" s="59"/>
      <c r="J181" s="59"/>
      <c r="K181" s="72"/>
      <c r="L181" s="59"/>
      <c r="M181" s="59"/>
      <c r="N181" s="72"/>
    </row>
    <row r="182" customFormat="false" ht="15.75" hidden="false" customHeight="false" outlineLevel="0" collapsed="false">
      <c r="A182" s="80" t="n">
        <v>5</v>
      </c>
      <c r="B182" s="68" t="s">
        <v>89</v>
      </c>
      <c r="C182" s="68" t="s">
        <v>39</v>
      </c>
      <c r="D182" s="68" t="s">
        <v>131</v>
      </c>
      <c r="E182" s="68" t="str">
        <f aca="false">C182&amp;D182</f>
        <v>MBPC1</v>
      </c>
      <c r="F182" s="82" t="n">
        <v>19.567</v>
      </c>
      <c r="G182" s="59"/>
      <c r="H182" s="59"/>
      <c r="I182" s="59"/>
      <c r="J182" s="59"/>
      <c r="K182" s="72"/>
      <c r="L182" s="59"/>
      <c r="M182" s="59"/>
      <c r="N182" s="72"/>
    </row>
    <row r="183" customFormat="false" ht="15.75" hidden="false" customHeight="false" outlineLevel="0" collapsed="false">
      <c r="A183" s="80" t="n">
        <v>5</v>
      </c>
      <c r="B183" s="68" t="s">
        <v>90</v>
      </c>
      <c r="C183" s="68" t="s">
        <v>39</v>
      </c>
      <c r="D183" s="68" t="s">
        <v>132</v>
      </c>
      <c r="E183" s="68" t="str">
        <f aca="false">C183&amp;D183</f>
        <v>MBPC2</v>
      </c>
      <c r="F183" s="82" t="n">
        <v>20.192</v>
      </c>
      <c r="G183" s="59"/>
      <c r="H183" s="59"/>
      <c r="I183" s="59"/>
      <c r="J183" s="59"/>
      <c r="K183" s="72"/>
      <c r="L183" s="59"/>
      <c r="M183" s="59"/>
      <c r="N183" s="72"/>
    </row>
    <row r="184" customFormat="false" ht="15.75" hidden="false" customHeight="false" outlineLevel="0" collapsed="false">
      <c r="A184" s="80" t="n">
        <v>5</v>
      </c>
      <c r="B184" s="68" t="s">
        <v>91</v>
      </c>
      <c r="C184" s="68" t="s">
        <v>39</v>
      </c>
      <c r="D184" s="68" t="s">
        <v>133</v>
      </c>
      <c r="E184" s="68" t="str">
        <f aca="false">C184&amp;D184</f>
        <v>MBPC3</v>
      </c>
      <c r="F184" s="82" t="n">
        <v>19.47</v>
      </c>
      <c r="G184" s="59"/>
      <c r="H184" s="59"/>
      <c r="I184" s="59"/>
      <c r="J184" s="59"/>
      <c r="K184" s="72"/>
      <c r="L184" s="59"/>
      <c r="M184" s="59"/>
      <c r="N184" s="72"/>
    </row>
    <row r="185" customFormat="false" ht="15.75" hidden="false" customHeight="false" outlineLevel="0" collapsed="false">
      <c r="A185" s="80" t="n">
        <v>5</v>
      </c>
      <c r="B185" s="68" t="s">
        <v>92</v>
      </c>
      <c r="C185" s="68" t="s">
        <v>39</v>
      </c>
      <c r="D185" s="68" t="s">
        <v>105</v>
      </c>
      <c r="E185" s="68" t="str">
        <f aca="false">C185&amp;D185</f>
        <v>MBPC5</v>
      </c>
      <c r="F185" s="82" t="n">
        <v>20.363</v>
      </c>
      <c r="G185" s="59"/>
      <c r="H185" s="59"/>
      <c r="I185" s="59"/>
      <c r="J185" s="59"/>
      <c r="K185" s="72"/>
      <c r="L185" s="59"/>
      <c r="M185" s="59"/>
      <c r="N185" s="72"/>
    </row>
    <row r="186" customFormat="false" ht="15.75" hidden="false" customHeight="false" outlineLevel="0" collapsed="false">
      <c r="A186" s="80" t="n">
        <v>5</v>
      </c>
      <c r="B186" s="68" t="s">
        <v>93</v>
      </c>
      <c r="C186" s="68" t="s">
        <v>39</v>
      </c>
      <c r="D186" s="68" t="s">
        <v>106</v>
      </c>
      <c r="E186" s="68" t="str">
        <f aca="false">C186&amp;D186</f>
        <v>MBPC6</v>
      </c>
      <c r="F186" s="82" t="n">
        <v>20.287</v>
      </c>
      <c r="G186" s="59"/>
      <c r="H186" s="59"/>
      <c r="I186" s="59"/>
      <c r="J186" s="59"/>
      <c r="K186" s="72"/>
      <c r="L186" s="59"/>
      <c r="M186" s="59"/>
      <c r="N186" s="72"/>
    </row>
    <row r="187" customFormat="false" ht="15.75" hidden="false" customHeight="false" outlineLevel="0" collapsed="false">
      <c r="A187" s="80" t="n">
        <v>5</v>
      </c>
      <c r="B187" s="68" t="s">
        <v>94</v>
      </c>
      <c r="C187" s="68" t="s">
        <v>39</v>
      </c>
      <c r="D187" s="68" t="s">
        <v>134</v>
      </c>
      <c r="E187" s="68" t="str">
        <f aca="false">C187&amp;D187</f>
        <v>MBPC7</v>
      </c>
      <c r="F187" s="82" t="n">
        <v>19.306</v>
      </c>
      <c r="G187" s="59"/>
      <c r="H187" s="59"/>
      <c r="I187" s="59"/>
      <c r="J187" s="59"/>
      <c r="K187" s="72"/>
      <c r="L187" s="59"/>
      <c r="M187" s="59"/>
      <c r="N187" s="72"/>
    </row>
    <row r="188" customFormat="false" ht="15.75" hidden="false" customHeight="false" outlineLevel="0" collapsed="false">
      <c r="A188" s="80" t="n">
        <v>5</v>
      </c>
      <c r="B188" s="68" t="s">
        <v>95</v>
      </c>
      <c r="C188" s="68" t="s">
        <v>39</v>
      </c>
      <c r="D188" s="68" t="s">
        <v>135</v>
      </c>
      <c r="E188" s="68" t="str">
        <f aca="false">C188&amp;D188</f>
        <v>MBPC10</v>
      </c>
      <c r="F188" s="82" t="n">
        <v>19.689</v>
      </c>
      <c r="G188" s="59"/>
      <c r="H188" s="59"/>
      <c r="I188" s="59"/>
      <c r="J188" s="59"/>
      <c r="K188" s="72"/>
      <c r="L188" s="59"/>
      <c r="M188" s="59"/>
      <c r="N188" s="72"/>
    </row>
    <row r="189" customFormat="false" ht="15.75" hidden="false" customHeight="false" outlineLevel="0" collapsed="false">
      <c r="A189" s="80" t="n">
        <v>5</v>
      </c>
      <c r="B189" s="68" t="s">
        <v>96</v>
      </c>
      <c r="C189" s="68" t="s">
        <v>39</v>
      </c>
      <c r="D189" s="68" t="s">
        <v>136</v>
      </c>
      <c r="E189" s="68" t="str">
        <f aca="false">C189&amp;D189</f>
        <v>MBPC11</v>
      </c>
      <c r="F189" s="82" t="n">
        <v>20.081</v>
      </c>
      <c r="G189" s="59"/>
      <c r="H189" s="59"/>
      <c r="I189" s="59"/>
      <c r="J189" s="59"/>
      <c r="K189" s="72"/>
      <c r="L189" s="59"/>
      <c r="M189" s="59"/>
      <c r="N189" s="72"/>
    </row>
    <row r="190" customFormat="false" ht="15.75" hidden="false" customHeight="false" outlineLevel="0" collapsed="false">
      <c r="A190" s="80" t="n">
        <v>5</v>
      </c>
      <c r="B190" s="68" t="s">
        <v>97</v>
      </c>
      <c r="C190" s="68" t="s">
        <v>39</v>
      </c>
      <c r="D190" s="68" t="s">
        <v>137</v>
      </c>
      <c r="E190" s="68" t="str">
        <f aca="false">C190&amp;D190</f>
        <v>MBPC12</v>
      </c>
      <c r="F190" s="82" t="n">
        <v>19.758</v>
      </c>
      <c r="G190" s="59"/>
      <c r="H190" s="59"/>
      <c r="I190" s="59"/>
      <c r="J190" s="59"/>
      <c r="K190" s="72"/>
      <c r="L190" s="59"/>
      <c r="M190" s="59"/>
      <c r="N190" s="72"/>
    </row>
    <row r="191" customFormat="false" ht="15.75" hidden="false" customHeight="false" outlineLevel="0" collapsed="false">
      <c r="A191" s="80" t="n">
        <v>5</v>
      </c>
      <c r="B191" s="68" t="s">
        <v>98</v>
      </c>
      <c r="C191" s="68" t="s">
        <v>39</v>
      </c>
      <c r="D191" s="68" t="s">
        <v>138</v>
      </c>
      <c r="E191" s="68" t="str">
        <f aca="false">C191&amp;D191</f>
        <v>MBPV1</v>
      </c>
      <c r="F191" s="82" t="n">
        <v>20.131</v>
      </c>
      <c r="G191" s="59"/>
      <c r="H191" s="59"/>
      <c r="I191" s="59"/>
      <c r="J191" s="59"/>
      <c r="K191" s="72"/>
      <c r="L191" s="59"/>
      <c r="M191" s="59"/>
      <c r="N191" s="72"/>
    </row>
    <row r="192" customFormat="false" ht="15.75" hidden="false" customHeight="false" outlineLevel="0" collapsed="false">
      <c r="A192" s="80" t="n">
        <v>5</v>
      </c>
      <c r="B192" s="68" t="s">
        <v>99</v>
      </c>
      <c r="C192" s="68" t="s">
        <v>39</v>
      </c>
      <c r="D192" s="68" t="s">
        <v>139</v>
      </c>
      <c r="E192" s="68" t="str">
        <f aca="false">C192&amp;D192</f>
        <v>MBPV2</v>
      </c>
      <c r="F192" s="82" t="n">
        <v>20.695</v>
      </c>
      <c r="G192" s="59"/>
      <c r="H192" s="59"/>
      <c r="I192" s="59"/>
      <c r="J192" s="59"/>
      <c r="K192" s="72"/>
      <c r="L192" s="59"/>
      <c r="M192" s="59"/>
      <c r="N192" s="72"/>
    </row>
    <row r="193" customFormat="false" ht="15.75" hidden="false" customHeight="false" outlineLevel="0" collapsed="false">
      <c r="A193" s="80" t="n">
        <v>5</v>
      </c>
      <c r="B193" s="68" t="s">
        <v>100</v>
      </c>
      <c r="C193" s="68" t="s">
        <v>39</v>
      </c>
      <c r="D193" s="68" t="s">
        <v>140</v>
      </c>
      <c r="E193" s="68" t="str">
        <f aca="false">C193&amp;D193</f>
        <v>MBPV3</v>
      </c>
      <c r="F193" s="82" t="n">
        <v>20.785</v>
      </c>
      <c r="G193" s="59"/>
      <c r="H193" s="59"/>
      <c r="I193" s="59"/>
      <c r="J193" s="59"/>
      <c r="K193" s="72"/>
      <c r="L193" s="59"/>
      <c r="M193" s="59"/>
      <c r="N193" s="72"/>
    </row>
    <row r="194" customFormat="false" ht="15.75" hidden="false" customHeight="false" outlineLevel="0" collapsed="false">
      <c r="A194" s="80" t="n">
        <v>5</v>
      </c>
      <c r="B194" s="68" t="s">
        <v>101</v>
      </c>
      <c r="C194" s="68" t="s">
        <v>39</v>
      </c>
      <c r="D194" s="68" t="s">
        <v>141</v>
      </c>
      <c r="E194" s="68" t="str">
        <f aca="false">C194&amp;D194</f>
        <v>MBPV4</v>
      </c>
      <c r="F194" s="82" t="n">
        <v>20.016</v>
      </c>
      <c r="G194" s="59"/>
      <c r="H194" s="59"/>
      <c r="I194" s="59"/>
      <c r="J194" s="59"/>
      <c r="K194" s="72"/>
      <c r="L194" s="59"/>
      <c r="M194" s="59"/>
      <c r="N194" s="72"/>
    </row>
    <row r="195" customFormat="false" ht="15.75" hidden="false" customHeight="false" outlineLevel="0" collapsed="false">
      <c r="A195" s="80" t="n">
        <v>5</v>
      </c>
      <c r="B195" s="68" t="s">
        <v>102</v>
      </c>
      <c r="C195" s="68" t="s">
        <v>39</v>
      </c>
      <c r="D195" s="68" t="s">
        <v>142</v>
      </c>
      <c r="E195" s="68" t="str">
        <f aca="false">C195&amp;D195</f>
        <v>MBPV5</v>
      </c>
      <c r="F195" s="82" t="n">
        <v>19.222</v>
      </c>
      <c r="G195" s="59"/>
      <c r="H195" s="59"/>
      <c r="I195" s="59"/>
      <c r="J195" s="59"/>
      <c r="K195" s="72"/>
      <c r="L195" s="59"/>
      <c r="M195" s="59"/>
      <c r="N195" s="72"/>
    </row>
    <row r="196" customFormat="false" ht="15.75" hidden="false" customHeight="false" outlineLevel="0" collapsed="false">
      <c r="A196" s="80" t="n">
        <v>5</v>
      </c>
      <c r="B196" s="68" t="s">
        <v>103</v>
      </c>
      <c r="C196" s="68" t="s">
        <v>39</v>
      </c>
      <c r="D196" s="68" t="s">
        <v>143</v>
      </c>
      <c r="E196" s="68" t="str">
        <f aca="false">C196&amp;D196</f>
        <v>MBPV7</v>
      </c>
      <c r="F196" s="82" t="n">
        <v>20.385</v>
      </c>
      <c r="G196" s="59"/>
      <c r="H196" s="59"/>
      <c r="I196" s="59"/>
      <c r="J196" s="59"/>
      <c r="K196" s="72"/>
      <c r="L196" s="59"/>
      <c r="M196" s="59"/>
      <c r="N196" s="72"/>
    </row>
    <row r="197" customFormat="false" ht="15.75" hidden="false" customHeight="false" outlineLevel="0" collapsed="false">
      <c r="A197" s="80" t="n">
        <v>5</v>
      </c>
      <c r="B197" s="68" t="s">
        <v>104</v>
      </c>
      <c r="C197" s="68" t="s">
        <v>39</v>
      </c>
      <c r="D197" s="68" t="s">
        <v>144</v>
      </c>
      <c r="E197" s="68" t="str">
        <f aca="false">C197&amp;D197</f>
        <v>MBPV8</v>
      </c>
      <c r="F197" s="82" t="n">
        <v>19.538</v>
      </c>
      <c r="G197" s="59"/>
      <c r="H197" s="59"/>
      <c r="I197" s="59"/>
      <c r="J197" s="59"/>
      <c r="K197" s="72"/>
      <c r="L197" s="59"/>
      <c r="M197" s="59"/>
      <c r="N197" s="72"/>
    </row>
    <row r="198" customFormat="false" ht="15.75" hidden="false" customHeight="false" outlineLevel="0" collapsed="false">
      <c r="A198" s="80" t="n">
        <v>5</v>
      </c>
      <c r="B198" s="68" t="s">
        <v>105</v>
      </c>
      <c r="C198" s="68" t="s">
        <v>39</v>
      </c>
      <c r="D198" s="68" t="s">
        <v>145</v>
      </c>
      <c r="E198" s="68" t="str">
        <f aca="false">C198&amp;D198</f>
        <v>MBPV10</v>
      </c>
      <c r="F198" s="82" t="n">
        <v>19.911</v>
      </c>
      <c r="G198" s="59"/>
      <c r="H198" s="59"/>
      <c r="I198" s="59"/>
      <c r="J198" s="59"/>
      <c r="K198" s="72"/>
      <c r="L198" s="59"/>
      <c r="M198" s="59"/>
      <c r="N198" s="72"/>
    </row>
    <row r="199" customFormat="false" ht="15.75" hidden="false" customHeight="false" outlineLevel="0" collapsed="false">
      <c r="A199" s="80" t="n">
        <v>5</v>
      </c>
      <c r="B199" s="68" t="s">
        <v>106</v>
      </c>
      <c r="C199" s="68" t="s">
        <v>39</v>
      </c>
      <c r="D199" s="68" t="s">
        <v>146</v>
      </c>
      <c r="E199" s="68" t="str">
        <f aca="false">C199&amp;D199</f>
        <v>MBPV12</v>
      </c>
      <c r="F199" s="82" t="n">
        <v>20.931</v>
      </c>
      <c r="G199" s="59"/>
      <c r="H199" s="59"/>
      <c r="I199" s="59"/>
      <c r="J199" s="59"/>
      <c r="K199" s="72"/>
      <c r="L199" s="59"/>
      <c r="M199" s="59"/>
      <c r="N199" s="72"/>
    </row>
    <row r="200" customFormat="false" ht="15.75" hidden="false" customHeight="false" outlineLevel="0" collapsed="false">
      <c r="A200" s="80" t="n">
        <v>5</v>
      </c>
      <c r="B200" s="68" t="s">
        <v>107</v>
      </c>
      <c r="C200" s="68" t="s">
        <v>40</v>
      </c>
      <c r="D200" s="81" t="n">
        <v>1</v>
      </c>
      <c r="E200" s="68" t="str">
        <f aca="false">C200&amp;D200</f>
        <v>COL1A11</v>
      </c>
      <c r="F200" s="82" t="n">
        <v>26.243</v>
      </c>
      <c r="G200" s="59"/>
      <c r="H200" s="59"/>
      <c r="I200" s="59"/>
      <c r="J200" s="59"/>
      <c r="K200" s="72"/>
      <c r="L200" s="59"/>
      <c r="M200" s="59"/>
      <c r="N200" s="72"/>
    </row>
    <row r="201" customFormat="false" ht="15.75" hidden="false" customHeight="false" outlineLevel="0" collapsed="false">
      <c r="A201" s="80" t="n">
        <v>5</v>
      </c>
      <c r="B201" s="68" t="s">
        <v>108</v>
      </c>
      <c r="C201" s="68" t="s">
        <v>40</v>
      </c>
      <c r="D201" s="81" t="n">
        <v>0.1</v>
      </c>
      <c r="E201" s="68" t="str">
        <f aca="false">C201&amp;D201</f>
        <v>COL1A10.1</v>
      </c>
      <c r="F201" s="82" t="n">
        <v>28.18</v>
      </c>
      <c r="G201" s="59"/>
      <c r="H201" s="59"/>
      <c r="I201" s="59"/>
      <c r="J201" s="59"/>
      <c r="K201" s="72"/>
      <c r="L201" s="59"/>
      <c r="M201" s="59"/>
      <c r="N201" s="72"/>
    </row>
    <row r="202" customFormat="false" ht="15.75" hidden="false" customHeight="false" outlineLevel="0" collapsed="false">
      <c r="A202" s="80" t="n">
        <v>5</v>
      </c>
      <c r="B202" s="68" t="s">
        <v>109</v>
      </c>
      <c r="C202" s="68" t="s">
        <v>40</v>
      </c>
      <c r="D202" s="81" t="n">
        <v>0.01</v>
      </c>
      <c r="E202" s="68" t="str">
        <f aca="false">C202&amp;D202</f>
        <v>COL1A10.01</v>
      </c>
      <c r="F202" s="82" t="n">
        <v>31.688</v>
      </c>
      <c r="G202" s="59"/>
      <c r="H202" s="59"/>
      <c r="I202" s="59"/>
      <c r="J202" s="59"/>
      <c r="K202" s="72"/>
      <c r="L202" s="59"/>
      <c r="M202" s="59"/>
      <c r="N202" s="72"/>
    </row>
    <row r="203" customFormat="false" ht="15.75" hidden="false" customHeight="false" outlineLevel="0" collapsed="false">
      <c r="A203" s="80" t="n">
        <v>5</v>
      </c>
      <c r="B203" s="68" t="s">
        <v>110</v>
      </c>
      <c r="C203" s="68" t="s">
        <v>40</v>
      </c>
      <c r="D203" s="84" t="n">
        <v>0.001</v>
      </c>
      <c r="E203" s="68" t="str">
        <f aca="false">C203&amp;D203</f>
        <v>COL1A10.001</v>
      </c>
      <c r="F203" s="82" t="n">
        <v>35.582</v>
      </c>
      <c r="G203" s="59"/>
      <c r="H203" s="59"/>
      <c r="I203" s="59"/>
      <c r="J203" s="59"/>
      <c r="K203" s="72"/>
      <c r="L203" s="59"/>
      <c r="M203" s="59"/>
      <c r="N203" s="72"/>
    </row>
    <row r="204" customFormat="false" ht="15.75" hidden="false" customHeight="false" outlineLevel="0" collapsed="false">
      <c r="A204" s="80" t="n">
        <v>5</v>
      </c>
      <c r="B204" s="68" t="s">
        <v>111</v>
      </c>
      <c r="C204" s="68" t="s">
        <v>40</v>
      </c>
      <c r="D204" s="68" t="s">
        <v>131</v>
      </c>
      <c r="E204" s="68" t="str">
        <f aca="false">C204&amp;D204</f>
        <v>COL1A1C1</v>
      </c>
      <c r="F204" s="82" t="n">
        <v>26.548</v>
      </c>
      <c r="G204" s="59"/>
      <c r="H204" s="59"/>
      <c r="I204" s="59"/>
      <c r="J204" s="59"/>
      <c r="K204" s="72"/>
      <c r="L204" s="59"/>
      <c r="M204" s="59"/>
      <c r="N204" s="72"/>
    </row>
    <row r="205" customFormat="false" ht="15.75" hidden="false" customHeight="false" outlineLevel="0" collapsed="false">
      <c r="A205" s="80" t="n">
        <v>5</v>
      </c>
      <c r="B205" s="68" t="s">
        <v>112</v>
      </c>
      <c r="C205" s="68" t="s">
        <v>40</v>
      </c>
      <c r="D205" s="68" t="s">
        <v>132</v>
      </c>
      <c r="E205" s="68" t="str">
        <f aca="false">C205&amp;D205</f>
        <v>COL1A1C2</v>
      </c>
      <c r="F205" s="82" t="n">
        <v>25.731</v>
      </c>
      <c r="G205" s="59"/>
      <c r="H205" s="59"/>
      <c r="I205" s="59"/>
      <c r="J205" s="59"/>
      <c r="K205" s="72"/>
      <c r="L205" s="59"/>
      <c r="M205" s="59"/>
      <c r="N205" s="72"/>
    </row>
    <row r="206" customFormat="false" ht="15.75" hidden="false" customHeight="false" outlineLevel="0" collapsed="false">
      <c r="A206" s="80" t="n">
        <v>5</v>
      </c>
      <c r="B206" s="68" t="s">
        <v>113</v>
      </c>
      <c r="C206" s="68" t="s">
        <v>40</v>
      </c>
      <c r="D206" s="68" t="s">
        <v>133</v>
      </c>
      <c r="E206" s="68" t="str">
        <f aca="false">C206&amp;D206</f>
        <v>COL1A1C3</v>
      </c>
      <c r="F206" s="82" t="n">
        <v>26.35</v>
      </c>
      <c r="G206" s="59"/>
      <c r="H206" s="59"/>
      <c r="I206" s="59"/>
      <c r="J206" s="59"/>
      <c r="K206" s="72"/>
      <c r="L206" s="59"/>
      <c r="M206" s="59"/>
      <c r="N206" s="72"/>
    </row>
    <row r="207" customFormat="false" ht="15.75" hidden="false" customHeight="false" outlineLevel="0" collapsed="false">
      <c r="A207" s="80" t="n">
        <v>5</v>
      </c>
      <c r="B207" s="68" t="s">
        <v>114</v>
      </c>
      <c r="C207" s="68" t="s">
        <v>40</v>
      </c>
      <c r="D207" s="68" t="s">
        <v>105</v>
      </c>
      <c r="E207" s="68" t="str">
        <f aca="false">C207&amp;D207</f>
        <v>COL1A1C5</v>
      </c>
      <c r="F207" s="82" t="n">
        <v>26.992</v>
      </c>
      <c r="G207" s="59"/>
      <c r="H207" s="59"/>
      <c r="I207" s="59"/>
      <c r="J207" s="59"/>
      <c r="K207" s="72"/>
      <c r="L207" s="59"/>
      <c r="M207" s="59"/>
      <c r="N207" s="72"/>
    </row>
    <row r="208" customFormat="false" ht="15.75" hidden="false" customHeight="false" outlineLevel="0" collapsed="false">
      <c r="A208" s="80" t="n">
        <v>5</v>
      </c>
      <c r="B208" s="68" t="s">
        <v>115</v>
      </c>
      <c r="C208" s="68" t="s">
        <v>40</v>
      </c>
      <c r="D208" s="68" t="s">
        <v>106</v>
      </c>
      <c r="E208" s="68" t="str">
        <f aca="false">C208&amp;D208</f>
        <v>COL1A1C6</v>
      </c>
      <c r="F208" s="82" t="n">
        <v>28.454</v>
      </c>
      <c r="G208" s="59"/>
      <c r="H208" s="59"/>
      <c r="I208" s="59"/>
      <c r="J208" s="59"/>
      <c r="K208" s="72"/>
      <c r="L208" s="59"/>
      <c r="M208" s="59"/>
      <c r="N208" s="72"/>
    </row>
    <row r="209" customFormat="false" ht="15.75" hidden="false" customHeight="false" outlineLevel="0" collapsed="false">
      <c r="A209" s="80" t="n">
        <v>5</v>
      </c>
      <c r="B209" s="68" t="s">
        <v>116</v>
      </c>
      <c r="C209" s="68" t="s">
        <v>40</v>
      </c>
      <c r="D209" s="68" t="s">
        <v>134</v>
      </c>
      <c r="E209" s="68" t="str">
        <f aca="false">C209&amp;D209</f>
        <v>COL1A1C7</v>
      </c>
      <c r="F209" s="82" t="n">
        <v>25.956</v>
      </c>
      <c r="G209" s="59"/>
      <c r="H209" s="59"/>
      <c r="I209" s="59"/>
      <c r="J209" s="59"/>
      <c r="K209" s="72"/>
      <c r="L209" s="59"/>
      <c r="M209" s="59"/>
      <c r="N209" s="72"/>
    </row>
    <row r="210" customFormat="false" ht="15.75" hidden="false" customHeight="false" outlineLevel="0" collapsed="false">
      <c r="A210" s="80" t="n">
        <v>5</v>
      </c>
      <c r="B210" s="68" t="s">
        <v>117</v>
      </c>
      <c r="C210" s="68" t="s">
        <v>40</v>
      </c>
      <c r="D210" s="68" t="s">
        <v>135</v>
      </c>
      <c r="E210" s="68" t="str">
        <f aca="false">C210&amp;D210</f>
        <v>COL1A1C10</v>
      </c>
      <c r="F210" s="82" t="n">
        <v>26.24</v>
      </c>
      <c r="G210" s="59"/>
      <c r="H210" s="59"/>
      <c r="I210" s="59"/>
      <c r="J210" s="59"/>
      <c r="K210" s="72"/>
      <c r="L210" s="59"/>
      <c r="M210" s="59"/>
      <c r="N210" s="72"/>
    </row>
    <row r="211" customFormat="false" ht="15.75" hidden="false" customHeight="false" outlineLevel="0" collapsed="false">
      <c r="A211" s="80" t="n">
        <v>5</v>
      </c>
      <c r="B211" s="68" t="s">
        <v>118</v>
      </c>
      <c r="C211" s="68" t="s">
        <v>40</v>
      </c>
      <c r="D211" s="68" t="s">
        <v>136</v>
      </c>
      <c r="E211" s="68" t="str">
        <f aca="false">C211&amp;D211</f>
        <v>COL1A1C11</v>
      </c>
      <c r="F211" s="82" t="n">
        <v>26.442</v>
      </c>
      <c r="G211" s="59"/>
      <c r="H211" s="59"/>
      <c r="I211" s="59"/>
      <c r="J211" s="59"/>
      <c r="K211" s="72"/>
      <c r="L211" s="59"/>
      <c r="M211" s="59"/>
      <c r="N211" s="72"/>
    </row>
    <row r="212" customFormat="false" ht="15.75" hidden="false" customHeight="false" outlineLevel="0" collapsed="false">
      <c r="A212" s="80" t="n">
        <v>5</v>
      </c>
      <c r="B212" s="68" t="s">
        <v>119</v>
      </c>
      <c r="C212" s="68" t="s">
        <v>40</v>
      </c>
      <c r="D212" s="68" t="s">
        <v>137</v>
      </c>
      <c r="E212" s="68" t="str">
        <f aca="false">C212&amp;D212</f>
        <v>COL1A1C12</v>
      </c>
      <c r="F212" s="82" t="n">
        <v>25.826</v>
      </c>
      <c r="G212" s="59"/>
      <c r="H212" s="59"/>
      <c r="I212" s="59"/>
      <c r="J212" s="59"/>
      <c r="K212" s="72"/>
      <c r="L212" s="59"/>
      <c r="M212" s="59"/>
      <c r="N212" s="72"/>
    </row>
    <row r="213" customFormat="false" ht="15.75" hidden="false" customHeight="false" outlineLevel="0" collapsed="false">
      <c r="A213" s="80" t="n">
        <v>5</v>
      </c>
      <c r="B213" s="68" t="s">
        <v>120</v>
      </c>
      <c r="C213" s="68" t="s">
        <v>40</v>
      </c>
      <c r="D213" s="68" t="s">
        <v>138</v>
      </c>
      <c r="E213" s="68" t="str">
        <f aca="false">C213&amp;D213</f>
        <v>COL1A1V1</v>
      </c>
      <c r="F213" s="82" t="n">
        <v>25.989</v>
      </c>
      <c r="G213" s="59"/>
      <c r="H213" s="59"/>
      <c r="I213" s="59"/>
      <c r="J213" s="59"/>
      <c r="K213" s="72"/>
      <c r="L213" s="59"/>
      <c r="M213" s="59"/>
      <c r="N213" s="72"/>
    </row>
    <row r="214" customFormat="false" ht="15.75" hidden="false" customHeight="false" outlineLevel="0" collapsed="false">
      <c r="A214" s="80" t="n">
        <v>5</v>
      </c>
      <c r="B214" s="68" t="s">
        <v>121</v>
      </c>
      <c r="C214" s="68" t="s">
        <v>40</v>
      </c>
      <c r="D214" s="68" t="s">
        <v>139</v>
      </c>
      <c r="E214" s="68" t="str">
        <f aca="false">C214&amp;D214</f>
        <v>COL1A1V2</v>
      </c>
      <c r="F214" s="82" t="n">
        <v>26.196</v>
      </c>
      <c r="G214" s="59"/>
      <c r="H214" s="59"/>
      <c r="I214" s="59"/>
      <c r="J214" s="59"/>
      <c r="K214" s="72"/>
      <c r="L214" s="59"/>
      <c r="M214" s="59"/>
      <c r="N214" s="72"/>
    </row>
    <row r="215" customFormat="false" ht="15.75" hidden="false" customHeight="false" outlineLevel="0" collapsed="false">
      <c r="A215" s="80" t="n">
        <v>5</v>
      </c>
      <c r="B215" s="68" t="s">
        <v>122</v>
      </c>
      <c r="C215" s="68" t="s">
        <v>40</v>
      </c>
      <c r="D215" s="68" t="s">
        <v>140</v>
      </c>
      <c r="E215" s="68" t="str">
        <f aca="false">C215&amp;D215</f>
        <v>COL1A1V3</v>
      </c>
      <c r="F215" s="82" t="n">
        <v>26.121</v>
      </c>
      <c r="G215" s="59"/>
      <c r="H215" s="59"/>
      <c r="I215" s="59"/>
      <c r="J215" s="59"/>
      <c r="K215" s="72"/>
      <c r="L215" s="59"/>
      <c r="M215" s="59"/>
      <c r="N215" s="72"/>
    </row>
    <row r="216" customFormat="false" ht="15.75" hidden="false" customHeight="false" outlineLevel="0" collapsed="false">
      <c r="A216" s="80" t="n">
        <v>5</v>
      </c>
      <c r="B216" s="68" t="s">
        <v>123</v>
      </c>
      <c r="C216" s="68" t="s">
        <v>40</v>
      </c>
      <c r="D216" s="68" t="s">
        <v>141</v>
      </c>
      <c r="E216" s="68" t="str">
        <f aca="false">C216&amp;D216</f>
        <v>COL1A1V4</v>
      </c>
      <c r="F216" s="82" t="n">
        <v>26.515</v>
      </c>
      <c r="G216" s="59"/>
      <c r="H216" s="59"/>
      <c r="I216" s="59"/>
      <c r="J216" s="59"/>
      <c r="K216" s="72"/>
      <c r="L216" s="59"/>
      <c r="M216" s="59"/>
      <c r="N216" s="72"/>
    </row>
    <row r="217" customFormat="false" ht="15.75" hidden="false" customHeight="false" outlineLevel="0" collapsed="false">
      <c r="A217" s="80" t="n">
        <v>5</v>
      </c>
      <c r="B217" s="68" t="s">
        <v>124</v>
      </c>
      <c r="C217" s="68" t="s">
        <v>40</v>
      </c>
      <c r="D217" s="68" t="s">
        <v>142</v>
      </c>
      <c r="E217" s="68" t="str">
        <f aca="false">C217&amp;D217</f>
        <v>COL1A1V5</v>
      </c>
      <c r="F217" s="82" t="n">
        <v>25.853</v>
      </c>
      <c r="G217" s="59"/>
      <c r="H217" s="59"/>
      <c r="I217" s="59"/>
      <c r="J217" s="59"/>
      <c r="K217" s="72"/>
      <c r="L217" s="59"/>
      <c r="M217" s="59"/>
      <c r="N217" s="72"/>
    </row>
    <row r="218" customFormat="false" ht="15.75" hidden="false" customHeight="false" outlineLevel="0" collapsed="false">
      <c r="A218" s="80" t="n">
        <v>5</v>
      </c>
      <c r="B218" s="68" t="s">
        <v>125</v>
      </c>
      <c r="C218" s="68" t="s">
        <v>40</v>
      </c>
      <c r="D218" s="68" t="s">
        <v>143</v>
      </c>
      <c r="E218" s="68" t="str">
        <f aca="false">C218&amp;D218</f>
        <v>COL1A1V7</v>
      </c>
      <c r="F218" s="82" t="n">
        <v>25.517</v>
      </c>
      <c r="G218" s="59"/>
      <c r="H218" s="59"/>
      <c r="I218" s="59"/>
      <c r="J218" s="59"/>
      <c r="K218" s="72"/>
      <c r="L218" s="59"/>
      <c r="M218" s="59"/>
      <c r="N218" s="72"/>
    </row>
    <row r="219" customFormat="false" ht="15.75" hidden="false" customHeight="false" outlineLevel="0" collapsed="false">
      <c r="A219" s="80" t="n">
        <v>5</v>
      </c>
      <c r="B219" s="68" t="s">
        <v>126</v>
      </c>
      <c r="C219" s="68" t="s">
        <v>40</v>
      </c>
      <c r="D219" s="68" t="s">
        <v>144</v>
      </c>
      <c r="E219" s="68" t="str">
        <f aca="false">C219&amp;D219</f>
        <v>COL1A1V8</v>
      </c>
      <c r="F219" s="82" t="n">
        <v>26.894</v>
      </c>
      <c r="G219" s="59"/>
      <c r="H219" s="59"/>
      <c r="I219" s="59"/>
      <c r="J219" s="59"/>
      <c r="K219" s="72"/>
      <c r="L219" s="59"/>
      <c r="M219" s="59"/>
      <c r="N219" s="72"/>
    </row>
    <row r="220" customFormat="false" ht="15.75" hidden="false" customHeight="false" outlineLevel="0" collapsed="false">
      <c r="A220" s="80" t="n">
        <v>5</v>
      </c>
      <c r="B220" s="68" t="s">
        <v>127</v>
      </c>
      <c r="C220" s="68" t="s">
        <v>40</v>
      </c>
      <c r="D220" s="68" t="s">
        <v>145</v>
      </c>
      <c r="E220" s="68" t="str">
        <f aca="false">C220&amp;D220</f>
        <v>COL1A1V10</v>
      </c>
      <c r="F220" s="82" t="n">
        <v>27.024</v>
      </c>
      <c r="G220" s="59"/>
      <c r="H220" s="59"/>
      <c r="I220" s="59"/>
      <c r="J220" s="59"/>
      <c r="K220" s="72"/>
      <c r="L220" s="59"/>
      <c r="M220" s="59"/>
      <c r="N220" s="72"/>
    </row>
    <row r="221" customFormat="false" ht="15.75" hidden="false" customHeight="false" outlineLevel="0" collapsed="false">
      <c r="A221" s="80" t="n">
        <v>5</v>
      </c>
      <c r="B221" s="68" t="s">
        <v>128</v>
      </c>
      <c r="C221" s="68" t="s">
        <v>40</v>
      </c>
      <c r="D221" s="68" t="s">
        <v>146</v>
      </c>
      <c r="E221" s="68" t="str">
        <f aca="false">C221&amp;D221</f>
        <v>COL1A1V12</v>
      </c>
      <c r="F221" s="82" t="n">
        <v>27.556</v>
      </c>
      <c r="G221" s="59"/>
      <c r="H221" s="59"/>
      <c r="I221" s="59"/>
      <c r="J221" s="59"/>
      <c r="K221" s="72"/>
      <c r="L221" s="59"/>
      <c r="M221" s="59"/>
      <c r="N221" s="72"/>
    </row>
    <row r="222" customFormat="false" ht="15.75" hidden="false" customHeight="false" outlineLevel="0" collapsed="false">
      <c r="A222" s="80" t="n">
        <v>6</v>
      </c>
      <c r="B222" s="68" t="s">
        <v>80</v>
      </c>
      <c r="C222" s="68" t="s">
        <v>41</v>
      </c>
      <c r="D222" s="81" t="n">
        <v>1</v>
      </c>
      <c r="E222" s="68" t="str">
        <f aca="false">C222&amp;D222</f>
        <v>CDH191</v>
      </c>
      <c r="F222" s="82" t="n">
        <v>23.27</v>
      </c>
      <c r="G222" s="59"/>
      <c r="H222" s="59"/>
      <c r="I222" s="59"/>
      <c r="J222" s="59"/>
      <c r="K222" s="72"/>
      <c r="L222" s="59"/>
      <c r="M222" s="59"/>
      <c r="N222" s="72"/>
    </row>
    <row r="223" customFormat="false" ht="15.75" hidden="false" customHeight="false" outlineLevel="0" collapsed="false">
      <c r="A223" s="80" t="n">
        <v>6</v>
      </c>
      <c r="B223" s="68" t="s">
        <v>85</v>
      </c>
      <c r="C223" s="68" t="s">
        <v>41</v>
      </c>
      <c r="D223" s="81" t="n">
        <v>0.1</v>
      </c>
      <c r="E223" s="68" t="str">
        <f aca="false">C223&amp;D223</f>
        <v>CDH190.1</v>
      </c>
      <c r="F223" s="82" t="n">
        <v>26.309</v>
      </c>
      <c r="G223" s="59"/>
      <c r="H223" s="59"/>
      <c r="I223" s="59"/>
      <c r="J223" s="59"/>
      <c r="K223" s="72"/>
      <c r="L223" s="59"/>
      <c r="M223" s="59"/>
      <c r="N223" s="72"/>
    </row>
    <row r="224" customFormat="false" ht="15.75" hidden="false" customHeight="false" outlineLevel="0" collapsed="false">
      <c r="A224" s="80" t="n">
        <v>6</v>
      </c>
      <c r="B224" s="68" t="s">
        <v>86</v>
      </c>
      <c r="C224" s="68" t="s">
        <v>41</v>
      </c>
      <c r="D224" s="81" t="n">
        <v>0.01</v>
      </c>
      <c r="E224" s="68" t="str">
        <f aca="false">C224&amp;D224</f>
        <v>CDH190.01</v>
      </c>
      <c r="F224" s="82" t="n">
        <v>29.382</v>
      </c>
      <c r="G224" s="59"/>
      <c r="H224" s="59"/>
      <c r="I224" s="59"/>
      <c r="J224" s="59"/>
      <c r="K224" s="72"/>
      <c r="L224" s="59"/>
      <c r="M224" s="59"/>
      <c r="N224" s="72"/>
    </row>
    <row r="225" customFormat="false" ht="15.75" hidden="false" customHeight="false" outlineLevel="0" collapsed="false">
      <c r="A225" s="80" t="n">
        <v>6</v>
      </c>
      <c r="B225" s="68" t="s">
        <v>87</v>
      </c>
      <c r="C225" s="68" t="s">
        <v>41</v>
      </c>
      <c r="D225" s="84" t="n">
        <v>0.001</v>
      </c>
      <c r="E225" s="68" t="str">
        <f aca="false">C225&amp;D225</f>
        <v>CDH190.001</v>
      </c>
      <c r="F225" s="82" t="n">
        <v>34.578</v>
      </c>
      <c r="G225" s="59"/>
      <c r="H225" s="59"/>
      <c r="I225" s="59"/>
      <c r="J225" s="59"/>
      <c r="K225" s="72"/>
      <c r="L225" s="59"/>
      <c r="M225" s="59"/>
      <c r="N225" s="72"/>
    </row>
    <row r="226" customFormat="false" ht="15.75" hidden="false" customHeight="false" outlineLevel="0" collapsed="false">
      <c r="A226" s="80" t="n">
        <v>6</v>
      </c>
      <c r="B226" s="68" t="s">
        <v>89</v>
      </c>
      <c r="C226" s="68" t="s">
        <v>41</v>
      </c>
      <c r="D226" s="68" t="s">
        <v>131</v>
      </c>
      <c r="E226" s="68" t="str">
        <f aca="false">C226&amp;D226</f>
        <v>CDH19C1</v>
      </c>
      <c r="F226" s="82" t="n">
        <v>24.254</v>
      </c>
      <c r="G226" s="59"/>
      <c r="H226" s="59"/>
      <c r="I226" s="59"/>
      <c r="J226" s="59"/>
      <c r="K226" s="72"/>
      <c r="L226" s="59"/>
      <c r="M226" s="59"/>
      <c r="N226" s="72"/>
    </row>
    <row r="227" customFormat="false" ht="15.75" hidden="false" customHeight="false" outlineLevel="0" collapsed="false">
      <c r="A227" s="80" t="n">
        <v>6</v>
      </c>
      <c r="B227" s="68" t="s">
        <v>90</v>
      </c>
      <c r="C227" s="68" t="s">
        <v>41</v>
      </c>
      <c r="D227" s="68" t="s">
        <v>132</v>
      </c>
      <c r="E227" s="68" t="str">
        <f aca="false">C227&amp;D227</f>
        <v>CDH19C2</v>
      </c>
      <c r="F227" s="82" t="n">
        <v>23.779</v>
      </c>
      <c r="G227" s="59"/>
      <c r="H227" s="59"/>
      <c r="I227" s="59"/>
      <c r="J227" s="59"/>
      <c r="K227" s="72"/>
      <c r="L227" s="59"/>
      <c r="M227" s="59"/>
      <c r="N227" s="72"/>
    </row>
    <row r="228" customFormat="false" ht="15.75" hidden="false" customHeight="false" outlineLevel="0" collapsed="false">
      <c r="A228" s="80" t="n">
        <v>6</v>
      </c>
      <c r="B228" s="68" t="s">
        <v>91</v>
      </c>
      <c r="C228" s="68" t="s">
        <v>41</v>
      </c>
      <c r="D228" s="68" t="s">
        <v>133</v>
      </c>
      <c r="E228" s="68" t="str">
        <f aca="false">C228&amp;D228</f>
        <v>CDH19C3</v>
      </c>
      <c r="F228" s="82" t="n">
        <v>24.163</v>
      </c>
      <c r="G228" s="59"/>
      <c r="H228" s="59"/>
      <c r="I228" s="59"/>
      <c r="J228" s="59"/>
      <c r="K228" s="72"/>
      <c r="L228" s="59"/>
      <c r="M228" s="59"/>
      <c r="N228" s="72"/>
    </row>
    <row r="229" customFormat="false" ht="15.75" hidden="false" customHeight="false" outlineLevel="0" collapsed="false">
      <c r="A229" s="80" t="n">
        <v>6</v>
      </c>
      <c r="B229" s="68" t="s">
        <v>92</v>
      </c>
      <c r="C229" s="68" t="s">
        <v>41</v>
      </c>
      <c r="D229" s="68" t="s">
        <v>105</v>
      </c>
      <c r="E229" s="68" t="str">
        <f aca="false">C229&amp;D229</f>
        <v>CDH19C5</v>
      </c>
      <c r="F229" s="82" t="n">
        <v>24.584</v>
      </c>
      <c r="G229" s="59"/>
      <c r="H229" s="59"/>
      <c r="I229" s="59"/>
      <c r="J229" s="59"/>
      <c r="K229" s="72"/>
      <c r="L229" s="59"/>
      <c r="M229" s="59"/>
      <c r="N229" s="72"/>
    </row>
    <row r="230" customFormat="false" ht="15.75" hidden="false" customHeight="false" outlineLevel="0" collapsed="false">
      <c r="A230" s="80" t="n">
        <v>6</v>
      </c>
      <c r="B230" s="68" t="s">
        <v>93</v>
      </c>
      <c r="C230" s="68" t="s">
        <v>41</v>
      </c>
      <c r="D230" s="68" t="s">
        <v>106</v>
      </c>
      <c r="E230" s="68" t="str">
        <f aca="false">C230&amp;D230</f>
        <v>CDH19C6</v>
      </c>
      <c r="F230" s="82" t="n">
        <v>25.781</v>
      </c>
      <c r="G230" s="59"/>
      <c r="H230" s="59"/>
      <c r="I230" s="59"/>
      <c r="J230" s="59"/>
      <c r="K230" s="72"/>
      <c r="L230" s="59"/>
      <c r="M230" s="59"/>
      <c r="N230" s="72"/>
    </row>
    <row r="231" customFormat="false" ht="15.75" hidden="false" customHeight="false" outlineLevel="0" collapsed="false">
      <c r="A231" s="80" t="n">
        <v>6</v>
      </c>
      <c r="B231" s="68" t="s">
        <v>94</v>
      </c>
      <c r="C231" s="68" t="s">
        <v>41</v>
      </c>
      <c r="D231" s="68" t="s">
        <v>134</v>
      </c>
      <c r="E231" s="68" t="str">
        <f aca="false">C231&amp;D231</f>
        <v>CDH19C7</v>
      </c>
      <c r="F231" s="82" t="n">
        <v>23.842</v>
      </c>
      <c r="G231" s="59"/>
      <c r="H231" s="59"/>
      <c r="I231" s="59"/>
      <c r="J231" s="59"/>
      <c r="K231" s="72"/>
      <c r="L231" s="59"/>
      <c r="M231" s="59"/>
      <c r="N231" s="72"/>
    </row>
    <row r="232" customFormat="false" ht="15.75" hidden="false" customHeight="false" outlineLevel="0" collapsed="false">
      <c r="A232" s="80" t="n">
        <v>6</v>
      </c>
      <c r="B232" s="68" t="s">
        <v>95</v>
      </c>
      <c r="C232" s="68" t="s">
        <v>41</v>
      </c>
      <c r="D232" s="68" t="s">
        <v>135</v>
      </c>
      <c r="E232" s="68" t="str">
        <f aca="false">C232&amp;D232</f>
        <v>CDH19C10</v>
      </c>
      <c r="F232" s="82" t="n">
        <v>24.006</v>
      </c>
      <c r="G232" s="59"/>
      <c r="H232" s="59"/>
      <c r="I232" s="59"/>
      <c r="J232" s="59"/>
      <c r="K232" s="72"/>
      <c r="L232" s="59"/>
      <c r="M232" s="59"/>
      <c r="N232" s="72"/>
    </row>
    <row r="233" customFormat="false" ht="15.75" hidden="false" customHeight="false" outlineLevel="0" collapsed="false">
      <c r="A233" s="80" t="n">
        <v>6</v>
      </c>
      <c r="B233" s="68" t="s">
        <v>96</v>
      </c>
      <c r="C233" s="68" t="s">
        <v>41</v>
      </c>
      <c r="D233" s="68" t="s">
        <v>136</v>
      </c>
      <c r="E233" s="68" t="str">
        <f aca="false">C233&amp;D233</f>
        <v>CDH19C11</v>
      </c>
      <c r="F233" s="82" t="n">
        <v>24.559</v>
      </c>
      <c r="G233" s="59"/>
      <c r="H233" s="59"/>
      <c r="I233" s="59"/>
      <c r="J233" s="59"/>
      <c r="K233" s="72"/>
      <c r="L233" s="59"/>
      <c r="M233" s="59"/>
      <c r="N233" s="72"/>
    </row>
    <row r="234" customFormat="false" ht="15.75" hidden="false" customHeight="false" outlineLevel="0" collapsed="false">
      <c r="A234" s="80" t="n">
        <v>6</v>
      </c>
      <c r="B234" s="68" t="s">
        <v>97</v>
      </c>
      <c r="C234" s="68" t="s">
        <v>41</v>
      </c>
      <c r="D234" s="68" t="s">
        <v>137</v>
      </c>
      <c r="E234" s="68" t="str">
        <f aca="false">C234&amp;D234</f>
        <v>CDH19C12</v>
      </c>
      <c r="F234" s="82" t="n">
        <v>24.32</v>
      </c>
      <c r="G234" s="59"/>
      <c r="H234" s="59"/>
      <c r="I234" s="59"/>
      <c r="J234" s="59"/>
      <c r="K234" s="72"/>
      <c r="L234" s="59"/>
      <c r="M234" s="59"/>
      <c r="N234" s="72"/>
    </row>
    <row r="235" customFormat="false" ht="15.75" hidden="false" customHeight="false" outlineLevel="0" collapsed="false">
      <c r="A235" s="80" t="n">
        <v>6</v>
      </c>
      <c r="B235" s="68" t="s">
        <v>98</v>
      </c>
      <c r="C235" s="68" t="s">
        <v>41</v>
      </c>
      <c r="D235" s="68" t="s">
        <v>138</v>
      </c>
      <c r="E235" s="68" t="str">
        <f aca="false">C235&amp;D235</f>
        <v>CDH19V1</v>
      </c>
      <c r="F235" s="82" t="n">
        <v>24.514</v>
      </c>
      <c r="G235" s="59"/>
      <c r="H235" s="59"/>
      <c r="I235" s="59"/>
      <c r="J235" s="59"/>
      <c r="K235" s="72"/>
      <c r="L235" s="59"/>
      <c r="M235" s="59"/>
      <c r="N235" s="72"/>
    </row>
    <row r="236" customFormat="false" ht="15.75" hidden="false" customHeight="false" outlineLevel="0" collapsed="false">
      <c r="A236" s="80" t="n">
        <v>6</v>
      </c>
      <c r="B236" s="68" t="s">
        <v>99</v>
      </c>
      <c r="C236" s="68" t="s">
        <v>41</v>
      </c>
      <c r="D236" s="68" t="s">
        <v>139</v>
      </c>
      <c r="E236" s="68" t="str">
        <f aca="false">C236&amp;D236</f>
        <v>CDH19V2</v>
      </c>
      <c r="F236" s="82" t="n">
        <v>24.472</v>
      </c>
      <c r="G236" s="59"/>
      <c r="H236" s="59"/>
      <c r="I236" s="59"/>
      <c r="J236" s="59"/>
      <c r="K236" s="72"/>
      <c r="L236" s="59"/>
      <c r="M236" s="59"/>
      <c r="N236" s="72"/>
    </row>
    <row r="237" customFormat="false" ht="15.75" hidden="false" customHeight="false" outlineLevel="0" collapsed="false">
      <c r="A237" s="80" t="n">
        <v>6</v>
      </c>
      <c r="B237" s="68" t="s">
        <v>100</v>
      </c>
      <c r="C237" s="68" t="s">
        <v>41</v>
      </c>
      <c r="D237" s="68" t="s">
        <v>140</v>
      </c>
      <c r="E237" s="68" t="str">
        <f aca="false">C237&amp;D237</f>
        <v>CDH19V3</v>
      </c>
      <c r="F237" s="82" t="n">
        <v>24.211</v>
      </c>
      <c r="G237" s="59"/>
      <c r="H237" s="59"/>
      <c r="I237" s="59"/>
      <c r="J237" s="59"/>
      <c r="K237" s="72"/>
      <c r="L237" s="59"/>
      <c r="M237" s="59"/>
      <c r="N237" s="72"/>
    </row>
    <row r="238" customFormat="false" ht="15.75" hidden="false" customHeight="false" outlineLevel="0" collapsed="false">
      <c r="A238" s="80" t="n">
        <v>6</v>
      </c>
      <c r="B238" s="68" t="s">
        <v>101</v>
      </c>
      <c r="C238" s="68" t="s">
        <v>41</v>
      </c>
      <c r="D238" s="68" t="s">
        <v>141</v>
      </c>
      <c r="E238" s="68" t="str">
        <f aca="false">C238&amp;D238</f>
        <v>CDH19V4</v>
      </c>
      <c r="F238" s="82" t="n">
        <v>24.449</v>
      </c>
      <c r="G238" s="59"/>
      <c r="H238" s="59"/>
      <c r="I238" s="59"/>
      <c r="J238" s="59"/>
      <c r="K238" s="72"/>
      <c r="L238" s="59"/>
      <c r="M238" s="59"/>
      <c r="N238" s="72"/>
    </row>
    <row r="239" customFormat="false" ht="15.75" hidden="false" customHeight="false" outlineLevel="0" collapsed="false">
      <c r="A239" s="80" t="n">
        <v>6</v>
      </c>
      <c r="B239" s="68" t="s">
        <v>102</v>
      </c>
      <c r="C239" s="68" t="s">
        <v>41</v>
      </c>
      <c r="D239" s="68" t="s">
        <v>142</v>
      </c>
      <c r="E239" s="68" t="str">
        <f aca="false">C239&amp;D239</f>
        <v>CDH19V5</v>
      </c>
      <c r="F239" s="82" t="n">
        <v>23.467</v>
      </c>
      <c r="G239" s="59"/>
      <c r="H239" s="59"/>
      <c r="I239" s="59"/>
      <c r="J239" s="59"/>
      <c r="K239" s="72"/>
      <c r="L239" s="59"/>
      <c r="M239" s="59"/>
      <c r="N239" s="72"/>
    </row>
    <row r="240" customFormat="false" ht="15.75" hidden="false" customHeight="false" outlineLevel="0" collapsed="false">
      <c r="A240" s="80" t="n">
        <v>6</v>
      </c>
      <c r="B240" s="68" t="s">
        <v>103</v>
      </c>
      <c r="C240" s="68" t="s">
        <v>41</v>
      </c>
      <c r="D240" s="68" t="s">
        <v>143</v>
      </c>
      <c r="E240" s="68" t="str">
        <f aca="false">C240&amp;D240</f>
        <v>CDH19V7</v>
      </c>
      <c r="F240" s="82" t="n">
        <v>24.052</v>
      </c>
      <c r="G240" s="59"/>
      <c r="H240" s="59"/>
      <c r="I240" s="59"/>
      <c r="J240" s="59"/>
      <c r="K240" s="72"/>
      <c r="L240" s="59"/>
      <c r="M240" s="59"/>
      <c r="N240" s="72"/>
    </row>
    <row r="241" customFormat="false" ht="15.75" hidden="false" customHeight="false" outlineLevel="0" collapsed="false">
      <c r="A241" s="80" t="n">
        <v>6</v>
      </c>
      <c r="B241" s="68" t="s">
        <v>104</v>
      </c>
      <c r="C241" s="68" t="s">
        <v>41</v>
      </c>
      <c r="D241" s="68" t="s">
        <v>144</v>
      </c>
      <c r="E241" s="68" t="str">
        <f aca="false">C241&amp;D241</f>
        <v>CDH19V8</v>
      </c>
      <c r="F241" s="82" t="n">
        <v>24.156</v>
      </c>
      <c r="G241" s="59"/>
      <c r="H241" s="59"/>
      <c r="I241" s="59"/>
      <c r="J241" s="59"/>
      <c r="K241" s="72"/>
      <c r="L241" s="59"/>
      <c r="M241" s="59"/>
      <c r="N241" s="72"/>
    </row>
    <row r="242" customFormat="false" ht="15.75" hidden="false" customHeight="false" outlineLevel="0" collapsed="false">
      <c r="A242" s="80" t="n">
        <v>6</v>
      </c>
      <c r="B242" s="68" t="s">
        <v>105</v>
      </c>
      <c r="C242" s="68" t="s">
        <v>41</v>
      </c>
      <c r="D242" s="68" t="s">
        <v>145</v>
      </c>
      <c r="E242" s="68" t="str">
        <f aca="false">C242&amp;D242</f>
        <v>CDH19V10</v>
      </c>
      <c r="F242" s="82" t="n">
        <v>25.363</v>
      </c>
      <c r="G242" s="59"/>
      <c r="H242" s="59"/>
      <c r="I242" s="59"/>
      <c r="J242" s="59"/>
      <c r="K242" s="72"/>
      <c r="L242" s="59"/>
      <c r="M242" s="59"/>
      <c r="N242" s="72"/>
    </row>
    <row r="243" customFormat="false" ht="15.75" hidden="false" customHeight="false" outlineLevel="0" collapsed="false">
      <c r="A243" s="80" t="n">
        <v>6</v>
      </c>
      <c r="B243" s="68" t="s">
        <v>106</v>
      </c>
      <c r="C243" s="68" t="s">
        <v>41</v>
      </c>
      <c r="D243" s="68" t="s">
        <v>146</v>
      </c>
      <c r="E243" s="68" t="str">
        <f aca="false">C243&amp;D243</f>
        <v>CDH19V12</v>
      </c>
      <c r="F243" s="82" t="n">
        <v>25.123</v>
      </c>
      <c r="G243" s="59"/>
      <c r="H243" s="59"/>
      <c r="I243" s="59"/>
      <c r="J243" s="59"/>
      <c r="K243" s="72"/>
      <c r="L243" s="59"/>
      <c r="M243" s="59"/>
      <c r="N243" s="72"/>
    </row>
    <row r="244" customFormat="false" ht="15.75" hidden="false" customHeight="false" outlineLevel="0" collapsed="false">
      <c r="A244" s="80" t="n">
        <v>6</v>
      </c>
      <c r="B244" s="68" t="s">
        <v>107</v>
      </c>
      <c r="C244" s="68" t="s">
        <v>42</v>
      </c>
      <c r="D244" s="81" t="n">
        <v>1</v>
      </c>
      <c r="E244" s="68" t="str">
        <f aca="false">C244&amp;D244</f>
        <v>ERNM1</v>
      </c>
      <c r="F244" s="82" t="n">
        <v>24.783</v>
      </c>
      <c r="G244" s="59"/>
      <c r="H244" s="59"/>
      <c r="I244" s="59"/>
      <c r="J244" s="59"/>
      <c r="K244" s="72"/>
      <c r="L244" s="59"/>
      <c r="M244" s="59"/>
      <c r="N244" s="72"/>
    </row>
    <row r="245" customFormat="false" ht="15.75" hidden="false" customHeight="false" outlineLevel="0" collapsed="false">
      <c r="A245" s="80" t="n">
        <v>6</v>
      </c>
      <c r="B245" s="68" t="s">
        <v>108</v>
      </c>
      <c r="C245" s="68" t="s">
        <v>42</v>
      </c>
      <c r="D245" s="81" t="n">
        <v>0.1</v>
      </c>
      <c r="E245" s="68" t="str">
        <f aca="false">C245&amp;D245</f>
        <v>ERNM0.1</v>
      </c>
      <c r="F245" s="82" t="n">
        <v>26.402</v>
      </c>
      <c r="G245" s="59"/>
      <c r="H245" s="59"/>
      <c r="I245" s="59"/>
      <c r="J245" s="59"/>
      <c r="K245" s="72"/>
      <c r="L245" s="59"/>
      <c r="M245" s="59"/>
      <c r="N245" s="72"/>
    </row>
    <row r="246" customFormat="false" ht="15.75" hidden="false" customHeight="false" outlineLevel="0" collapsed="false">
      <c r="A246" s="80" t="n">
        <v>6</v>
      </c>
      <c r="B246" s="68" t="s">
        <v>109</v>
      </c>
      <c r="C246" s="68" t="s">
        <v>42</v>
      </c>
      <c r="D246" s="81" t="n">
        <v>0.01</v>
      </c>
      <c r="E246" s="68" t="str">
        <f aca="false">C246&amp;D246</f>
        <v>ERNM0.01</v>
      </c>
      <c r="F246" s="82" t="n">
        <v>30.076</v>
      </c>
      <c r="G246" s="59"/>
      <c r="H246" s="59"/>
      <c r="I246" s="59"/>
      <c r="J246" s="59"/>
      <c r="K246" s="72"/>
      <c r="L246" s="59"/>
      <c r="M246" s="59"/>
      <c r="N246" s="72"/>
    </row>
    <row r="247" customFormat="false" ht="15.75" hidden="false" customHeight="false" outlineLevel="0" collapsed="false">
      <c r="A247" s="80" t="n">
        <v>6</v>
      </c>
      <c r="B247" s="68" t="s">
        <v>110</v>
      </c>
      <c r="C247" s="68" t="s">
        <v>42</v>
      </c>
      <c r="D247" s="84" t="n">
        <v>0.001</v>
      </c>
      <c r="E247" s="68" t="str">
        <f aca="false">C247&amp;D247</f>
        <v>ERNM0.001</v>
      </c>
      <c r="F247" s="82" t="n">
        <v>32.404</v>
      </c>
      <c r="G247" s="59"/>
      <c r="H247" s="59"/>
      <c r="I247" s="59"/>
      <c r="J247" s="59"/>
      <c r="K247" s="72"/>
      <c r="L247" s="59"/>
      <c r="M247" s="59"/>
      <c r="N247" s="72"/>
    </row>
    <row r="248" customFormat="false" ht="15.75" hidden="false" customHeight="false" outlineLevel="0" collapsed="false">
      <c r="A248" s="80" t="n">
        <v>6</v>
      </c>
      <c r="B248" s="68" t="s">
        <v>111</v>
      </c>
      <c r="C248" s="68" t="s">
        <v>42</v>
      </c>
      <c r="D248" s="68" t="s">
        <v>131</v>
      </c>
      <c r="E248" s="68" t="str">
        <f aca="false">C248&amp;D248</f>
        <v>ERNMC1</v>
      </c>
      <c r="F248" s="82" t="n">
        <v>23.932</v>
      </c>
      <c r="G248" s="59"/>
      <c r="H248" s="59"/>
      <c r="I248" s="59"/>
      <c r="J248" s="59"/>
      <c r="K248" s="72"/>
      <c r="L248" s="59"/>
      <c r="M248" s="59"/>
      <c r="N248" s="72"/>
    </row>
    <row r="249" customFormat="false" ht="15.75" hidden="false" customHeight="false" outlineLevel="0" collapsed="false">
      <c r="A249" s="80" t="n">
        <v>6</v>
      </c>
      <c r="B249" s="68" t="s">
        <v>112</v>
      </c>
      <c r="C249" s="68" t="s">
        <v>42</v>
      </c>
      <c r="D249" s="68" t="s">
        <v>132</v>
      </c>
      <c r="E249" s="68" t="str">
        <f aca="false">C249&amp;D249</f>
        <v>ERNMC2</v>
      </c>
      <c r="F249" s="82" t="n">
        <v>24.407</v>
      </c>
      <c r="G249" s="59"/>
      <c r="H249" s="59"/>
      <c r="I249" s="59"/>
      <c r="J249" s="59"/>
      <c r="K249" s="72"/>
      <c r="L249" s="59"/>
      <c r="M249" s="59"/>
      <c r="N249" s="72"/>
    </row>
    <row r="250" customFormat="false" ht="15.75" hidden="false" customHeight="false" outlineLevel="0" collapsed="false">
      <c r="A250" s="80" t="n">
        <v>6</v>
      </c>
      <c r="B250" s="68" t="s">
        <v>113</v>
      </c>
      <c r="C250" s="68" t="s">
        <v>42</v>
      </c>
      <c r="D250" s="68" t="s">
        <v>133</v>
      </c>
      <c r="E250" s="68" t="str">
        <f aca="false">C250&amp;D250</f>
        <v>ERNMC3</v>
      </c>
      <c r="F250" s="82" t="n">
        <v>23.484</v>
      </c>
      <c r="G250" s="59"/>
      <c r="H250" s="59"/>
      <c r="I250" s="59"/>
      <c r="J250" s="59"/>
      <c r="K250" s="72"/>
      <c r="L250" s="59"/>
      <c r="M250" s="59"/>
      <c r="N250" s="72"/>
    </row>
    <row r="251" customFormat="false" ht="15.75" hidden="false" customHeight="false" outlineLevel="0" collapsed="false">
      <c r="A251" s="80" t="n">
        <v>6</v>
      </c>
      <c r="B251" s="68" t="s">
        <v>114</v>
      </c>
      <c r="C251" s="68" t="s">
        <v>42</v>
      </c>
      <c r="D251" s="68" t="s">
        <v>105</v>
      </c>
      <c r="E251" s="68" t="str">
        <f aca="false">C251&amp;D251</f>
        <v>ERNMC5</v>
      </c>
      <c r="F251" s="82" t="n">
        <v>24.321</v>
      </c>
      <c r="G251" s="59"/>
      <c r="H251" s="59"/>
      <c r="I251" s="59"/>
      <c r="J251" s="59"/>
      <c r="K251" s="72"/>
      <c r="L251" s="59"/>
      <c r="M251" s="59"/>
      <c r="N251" s="72"/>
    </row>
    <row r="252" customFormat="false" ht="15.75" hidden="false" customHeight="false" outlineLevel="0" collapsed="false">
      <c r="A252" s="80" t="n">
        <v>6</v>
      </c>
      <c r="B252" s="68" t="s">
        <v>115</v>
      </c>
      <c r="C252" s="68" t="s">
        <v>42</v>
      </c>
      <c r="D252" s="68" t="s">
        <v>106</v>
      </c>
      <c r="E252" s="68" t="str">
        <f aca="false">C252&amp;D252</f>
        <v>ERNMC6</v>
      </c>
      <c r="F252" s="82" t="n">
        <v>24.602</v>
      </c>
      <c r="G252" s="59"/>
      <c r="H252" s="59"/>
      <c r="I252" s="59"/>
      <c r="J252" s="59"/>
      <c r="K252" s="72"/>
      <c r="L252" s="59"/>
      <c r="M252" s="59"/>
      <c r="N252" s="72"/>
    </row>
    <row r="253" customFormat="false" ht="15.75" hidden="false" customHeight="false" outlineLevel="0" collapsed="false">
      <c r="A253" s="80" t="n">
        <v>6</v>
      </c>
      <c r="B253" s="68" t="s">
        <v>116</v>
      </c>
      <c r="C253" s="68" t="s">
        <v>42</v>
      </c>
      <c r="D253" s="68" t="s">
        <v>134</v>
      </c>
      <c r="E253" s="68" t="str">
        <f aca="false">C253&amp;D253</f>
        <v>ERNMC7</v>
      </c>
      <c r="F253" s="82" t="n">
        <v>24.163</v>
      </c>
      <c r="G253" s="59"/>
      <c r="H253" s="59"/>
      <c r="I253" s="59"/>
      <c r="J253" s="59"/>
      <c r="K253" s="72"/>
      <c r="L253" s="59"/>
      <c r="M253" s="59"/>
      <c r="N253" s="72"/>
    </row>
    <row r="254" customFormat="false" ht="15.75" hidden="false" customHeight="false" outlineLevel="0" collapsed="false">
      <c r="A254" s="80" t="n">
        <v>6</v>
      </c>
      <c r="B254" s="68" t="s">
        <v>117</v>
      </c>
      <c r="C254" s="68" t="s">
        <v>42</v>
      </c>
      <c r="D254" s="68" t="s">
        <v>135</v>
      </c>
      <c r="E254" s="68" t="str">
        <f aca="false">C254&amp;D254</f>
        <v>ERNMC10</v>
      </c>
      <c r="F254" s="82" t="n">
        <v>23.935</v>
      </c>
      <c r="G254" s="59"/>
      <c r="H254" s="59"/>
      <c r="I254" s="59"/>
      <c r="J254" s="59"/>
      <c r="K254" s="72"/>
      <c r="L254" s="59"/>
      <c r="M254" s="59"/>
      <c r="N254" s="72"/>
    </row>
    <row r="255" customFormat="false" ht="15.75" hidden="false" customHeight="false" outlineLevel="0" collapsed="false">
      <c r="A255" s="80" t="n">
        <v>6</v>
      </c>
      <c r="B255" s="68" t="s">
        <v>118</v>
      </c>
      <c r="C255" s="68" t="s">
        <v>42</v>
      </c>
      <c r="D255" s="68" t="s">
        <v>136</v>
      </c>
      <c r="E255" s="68" t="str">
        <f aca="false">C255&amp;D255</f>
        <v>ERNMC11</v>
      </c>
      <c r="F255" s="82" t="n">
        <v>24.721</v>
      </c>
      <c r="G255" s="59"/>
      <c r="H255" s="59"/>
      <c r="I255" s="59"/>
      <c r="J255" s="59"/>
      <c r="K255" s="72"/>
      <c r="L255" s="59"/>
      <c r="M255" s="59"/>
      <c r="N255" s="72"/>
    </row>
    <row r="256" customFormat="false" ht="15.75" hidden="false" customHeight="false" outlineLevel="0" collapsed="false">
      <c r="A256" s="80" t="n">
        <v>6</v>
      </c>
      <c r="B256" s="68" t="s">
        <v>119</v>
      </c>
      <c r="C256" s="68" t="s">
        <v>42</v>
      </c>
      <c r="D256" s="68" t="s">
        <v>137</v>
      </c>
      <c r="E256" s="68" t="str">
        <f aca="false">C256&amp;D256</f>
        <v>ERNMC12</v>
      </c>
      <c r="F256" s="82" t="n">
        <v>24.083</v>
      </c>
      <c r="G256" s="59"/>
      <c r="H256" s="59"/>
      <c r="I256" s="59"/>
      <c r="J256" s="59"/>
      <c r="K256" s="72"/>
      <c r="L256" s="59"/>
      <c r="M256" s="59"/>
      <c r="N256" s="72"/>
    </row>
    <row r="257" customFormat="false" ht="15.75" hidden="false" customHeight="false" outlineLevel="0" collapsed="false">
      <c r="A257" s="80" t="n">
        <v>6</v>
      </c>
      <c r="B257" s="68" t="s">
        <v>120</v>
      </c>
      <c r="C257" s="68" t="s">
        <v>42</v>
      </c>
      <c r="D257" s="68" t="s">
        <v>138</v>
      </c>
      <c r="E257" s="68" t="str">
        <f aca="false">C257&amp;D257</f>
        <v>ERNMV1</v>
      </c>
      <c r="F257" s="82" t="n">
        <v>24.583</v>
      </c>
      <c r="G257" s="59"/>
      <c r="H257" s="59"/>
      <c r="I257" s="59"/>
      <c r="J257" s="59"/>
      <c r="K257" s="72"/>
      <c r="L257" s="59"/>
      <c r="M257" s="59"/>
      <c r="N257" s="72"/>
    </row>
    <row r="258" customFormat="false" ht="15.75" hidden="false" customHeight="false" outlineLevel="0" collapsed="false">
      <c r="A258" s="80" t="n">
        <v>6</v>
      </c>
      <c r="B258" s="68" t="s">
        <v>121</v>
      </c>
      <c r="C258" s="68" t="s">
        <v>42</v>
      </c>
      <c r="D258" s="68" t="s">
        <v>139</v>
      </c>
      <c r="E258" s="68" t="str">
        <f aca="false">C258&amp;D258</f>
        <v>ERNMV2</v>
      </c>
      <c r="F258" s="82" t="n">
        <v>24.854</v>
      </c>
      <c r="G258" s="59"/>
      <c r="H258" s="59"/>
      <c r="I258" s="59"/>
      <c r="J258" s="59"/>
      <c r="K258" s="72"/>
      <c r="L258" s="59"/>
      <c r="M258" s="59"/>
      <c r="N258" s="72"/>
    </row>
    <row r="259" customFormat="false" ht="15.75" hidden="false" customHeight="false" outlineLevel="0" collapsed="false">
      <c r="A259" s="80" t="n">
        <v>6</v>
      </c>
      <c r="B259" s="68" t="s">
        <v>122</v>
      </c>
      <c r="C259" s="68" t="s">
        <v>42</v>
      </c>
      <c r="D259" s="68" t="s">
        <v>140</v>
      </c>
      <c r="E259" s="68" t="str">
        <f aca="false">C259&amp;D259</f>
        <v>ERNMV3</v>
      </c>
      <c r="F259" s="82" t="n">
        <v>24.784</v>
      </c>
      <c r="G259" s="59"/>
      <c r="H259" s="59"/>
      <c r="I259" s="59"/>
      <c r="J259" s="59"/>
      <c r="K259" s="72"/>
      <c r="L259" s="59"/>
      <c r="M259" s="59"/>
      <c r="N259" s="72"/>
    </row>
    <row r="260" customFormat="false" ht="15.75" hidden="false" customHeight="false" outlineLevel="0" collapsed="false">
      <c r="A260" s="80" t="n">
        <v>6</v>
      </c>
      <c r="B260" s="68" t="s">
        <v>123</v>
      </c>
      <c r="C260" s="68" t="s">
        <v>42</v>
      </c>
      <c r="D260" s="68" t="s">
        <v>141</v>
      </c>
      <c r="E260" s="68" t="str">
        <f aca="false">C260&amp;D260</f>
        <v>ERNMV4</v>
      </c>
      <c r="F260" s="82" t="n">
        <v>24.209</v>
      </c>
      <c r="G260" s="59"/>
      <c r="H260" s="59"/>
      <c r="I260" s="59"/>
      <c r="J260" s="59"/>
      <c r="K260" s="72"/>
      <c r="L260" s="59"/>
      <c r="M260" s="59"/>
      <c r="N260" s="72"/>
    </row>
    <row r="261" customFormat="false" ht="15.75" hidden="false" customHeight="false" outlineLevel="0" collapsed="false">
      <c r="A261" s="80" t="n">
        <v>6</v>
      </c>
      <c r="B261" s="68" t="s">
        <v>124</v>
      </c>
      <c r="C261" s="68" t="s">
        <v>42</v>
      </c>
      <c r="D261" s="68" t="s">
        <v>142</v>
      </c>
      <c r="E261" s="68" t="str">
        <f aca="false">C261&amp;D261</f>
        <v>ERNMV5</v>
      </c>
      <c r="F261" s="82" t="n">
        <v>23.534</v>
      </c>
      <c r="G261" s="59"/>
      <c r="H261" s="59"/>
      <c r="I261" s="59"/>
      <c r="J261" s="59"/>
      <c r="K261" s="72"/>
      <c r="L261" s="59"/>
      <c r="M261" s="59"/>
      <c r="N261" s="72"/>
    </row>
    <row r="262" customFormat="false" ht="15.75" hidden="false" customHeight="false" outlineLevel="0" collapsed="false">
      <c r="A262" s="80" t="n">
        <v>6</v>
      </c>
      <c r="B262" s="68" t="s">
        <v>125</v>
      </c>
      <c r="C262" s="68" t="s">
        <v>42</v>
      </c>
      <c r="D262" s="68" t="s">
        <v>143</v>
      </c>
      <c r="E262" s="68" t="str">
        <f aca="false">C262&amp;D262</f>
        <v>ERNMV7</v>
      </c>
      <c r="F262" s="82" t="n">
        <v>24.973</v>
      </c>
      <c r="G262" s="59"/>
      <c r="H262" s="59"/>
      <c r="I262" s="59"/>
      <c r="J262" s="59"/>
      <c r="K262" s="72"/>
      <c r="L262" s="59"/>
      <c r="M262" s="59"/>
      <c r="N262" s="72"/>
    </row>
    <row r="263" customFormat="false" ht="15.75" hidden="false" customHeight="false" outlineLevel="0" collapsed="false">
      <c r="A263" s="80" t="n">
        <v>6</v>
      </c>
      <c r="B263" s="68" t="s">
        <v>126</v>
      </c>
      <c r="C263" s="68" t="s">
        <v>42</v>
      </c>
      <c r="D263" s="68" t="s">
        <v>144</v>
      </c>
      <c r="E263" s="68" t="str">
        <f aca="false">C263&amp;D263</f>
        <v>ERNMV8</v>
      </c>
      <c r="F263" s="82" t="n">
        <v>24.253</v>
      </c>
      <c r="G263" s="59"/>
      <c r="H263" s="59"/>
      <c r="I263" s="59"/>
      <c r="J263" s="59"/>
      <c r="K263" s="72"/>
      <c r="L263" s="59"/>
      <c r="M263" s="59"/>
      <c r="N263" s="72"/>
    </row>
    <row r="264" customFormat="false" ht="15.75" hidden="false" customHeight="false" outlineLevel="0" collapsed="false">
      <c r="A264" s="80" t="n">
        <v>6</v>
      </c>
      <c r="B264" s="68" t="s">
        <v>127</v>
      </c>
      <c r="C264" s="68" t="s">
        <v>42</v>
      </c>
      <c r="D264" s="68" t="s">
        <v>145</v>
      </c>
      <c r="E264" s="68" t="str">
        <f aca="false">C264&amp;D264</f>
        <v>ERNMV10</v>
      </c>
      <c r="F264" s="82" t="n">
        <v>24.39</v>
      </c>
      <c r="G264" s="59"/>
      <c r="H264" s="59"/>
      <c r="I264" s="59"/>
      <c r="J264" s="59"/>
      <c r="K264" s="72"/>
      <c r="L264" s="59"/>
      <c r="M264" s="59"/>
      <c r="N264" s="72"/>
    </row>
    <row r="265" customFormat="false" ht="15.75" hidden="false" customHeight="false" outlineLevel="0" collapsed="false">
      <c r="A265" s="80" t="n">
        <v>6</v>
      </c>
      <c r="B265" s="68" t="s">
        <v>128</v>
      </c>
      <c r="C265" s="68" t="s">
        <v>42</v>
      </c>
      <c r="D265" s="68" t="s">
        <v>146</v>
      </c>
      <c r="E265" s="68" t="str">
        <f aca="false">C265&amp;D265</f>
        <v>ERNMV12</v>
      </c>
      <c r="F265" s="82" t="n">
        <v>24.773</v>
      </c>
      <c r="G265" s="59"/>
      <c r="H265" s="59"/>
      <c r="I265" s="59"/>
      <c r="J265" s="59"/>
      <c r="K265" s="72"/>
      <c r="L265" s="59"/>
      <c r="M265" s="59"/>
      <c r="N265" s="72"/>
    </row>
    <row r="266" customFormat="false" ht="15.75" hidden="false" customHeight="false" outlineLevel="0" collapsed="false">
      <c r="A266" s="80" t="n">
        <v>7</v>
      </c>
      <c r="B266" s="68" t="s">
        <v>80</v>
      </c>
      <c r="C266" s="68" t="s">
        <v>43</v>
      </c>
      <c r="D266" s="81" t="n">
        <v>1</v>
      </c>
      <c r="E266" s="68" t="str">
        <f aca="false">C266&amp;D266</f>
        <v>OPALIN1</v>
      </c>
      <c r="F266" s="82" t="n">
        <v>26.475</v>
      </c>
      <c r="G266" s="59"/>
      <c r="H266" s="59"/>
      <c r="I266" s="59"/>
      <c r="J266" s="59"/>
      <c r="K266" s="72"/>
      <c r="L266" s="59"/>
      <c r="M266" s="59"/>
      <c r="N266" s="72"/>
    </row>
    <row r="267" customFormat="false" ht="15.75" hidden="false" customHeight="false" outlineLevel="0" collapsed="false">
      <c r="A267" s="80" t="n">
        <v>7</v>
      </c>
      <c r="B267" s="68" t="s">
        <v>85</v>
      </c>
      <c r="C267" s="68" t="s">
        <v>43</v>
      </c>
      <c r="D267" s="81" t="n">
        <v>0.1</v>
      </c>
      <c r="E267" s="68" t="str">
        <f aca="false">C267&amp;D267</f>
        <v>OPALIN0.1</v>
      </c>
      <c r="F267" s="82" t="n">
        <v>29.713</v>
      </c>
      <c r="G267" s="59"/>
      <c r="H267" s="59"/>
      <c r="I267" s="59"/>
      <c r="J267" s="59"/>
      <c r="K267" s="72"/>
      <c r="L267" s="59"/>
      <c r="M267" s="59"/>
      <c r="N267" s="72"/>
    </row>
    <row r="268" customFormat="false" ht="15.75" hidden="false" customHeight="false" outlineLevel="0" collapsed="false">
      <c r="A268" s="80" t="n">
        <v>7</v>
      </c>
      <c r="B268" s="68" t="s">
        <v>86</v>
      </c>
      <c r="C268" s="68" t="s">
        <v>43</v>
      </c>
      <c r="D268" s="81" t="n">
        <v>0.01</v>
      </c>
      <c r="E268" s="68" t="str">
        <f aca="false">C268&amp;D268</f>
        <v>OPALIN0.01</v>
      </c>
      <c r="F268" s="82" t="n">
        <v>32.776</v>
      </c>
      <c r="G268" s="59"/>
      <c r="H268" s="59"/>
      <c r="I268" s="59"/>
      <c r="J268" s="59"/>
      <c r="K268" s="72"/>
      <c r="L268" s="59"/>
      <c r="M268" s="59"/>
      <c r="N268" s="72"/>
    </row>
    <row r="269" customFormat="false" ht="15.75" hidden="false" customHeight="false" outlineLevel="0" collapsed="false">
      <c r="A269" s="80" t="n">
        <v>7</v>
      </c>
      <c r="B269" s="68" t="s">
        <v>87</v>
      </c>
      <c r="C269" s="68" t="s">
        <v>43</v>
      </c>
      <c r="D269" s="84" t="n">
        <v>0.001</v>
      </c>
      <c r="E269" s="68" t="str">
        <f aca="false">C269&amp;D269</f>
        <v>OPALIN0.001</v>
      </c>
      <c r="F269" s="82" t="n">
        <v>35.97</v>
      </c>
      <c r="G269" s="59"/>
      <c r="H269" s="59"/>
      <c r="I269" s="59"/>
      <c r="J269" s="59"/>
      <c r="K269" s="72"/>
      <c r="L269" s="59"/>
      <c r="M269" s="59"/>
      <c r="N269" s="72"/>
    </row>
    <row r="270" customFormat="false" ht="15.75" hidden="false" customHeight="false" outlineLevel="0" collapsed="false">
      <c r="A270" s="80" t="n">
        <v>7</v>
      </c>
      <c r="B270" s="68" t="s">
        <v>89</v>
      </c>
      <c r="C270" s="68" t="s">
        <v>43</v>
      </c>
      <c r="D270" s="68" t="s">
        <v>131</v>
      </c>
      <c r="E270" s="68" t="str">
        <f aca="false">C270&amp;D270</f>
        <v>OPALINC1</v>
      </c>
      <c r="F270" s="82" t="n">
        <v>26.829</v>
      </c>
      <c r="G270" s="59"/>
      <c r="H270" s="59"/>
      <c r="I270" s="59"/>
      <c r="J270" s="59"/>
      <c r="K270" s="72"/>
      <c r="L270" s="59"/>
      <c r="M270" s="59"/>
      <c r="N270" s="72"/>
    </row>
    <row r="271" customFormat="false" ht="15.75" hidden="false" customHeight="false" outlineLevel="0" collapsed="false">
      <c r="A271" s="80" t="n">
        <v>7</v>
      </c>
      <c r="B271" s="68" t="s">
        <v>90</v>
      </c>
      <c r="C271" s="68" t="s">
        <v>43</v>
      </c>
      <c r="D271" s="68" t="s">
        <v>132</v>
      </c>
      <c r="E271" s="68" t="str">
        <f aca="false">C271&amp;D271</f>
        <v>OPALINC2</v>
      </c>
      <c r="F271" s="82" t="n">
        <v>27.075</v>
      </c>
      <c r="G271" s="59"/>
      <c r="H271" s="59"/>
      <c r="I271" s="59"/>
      <c r="J271" s="59"/>
      <c r="K271" s="72"/>
      <c r="L271" s="59"/>
      <c r="M271" s="59"/>
      <c r="N271" s="72"/>
    </row>
    <row r="272" customFormat="false" ht="15.75" hidden="false" customHeight="false" outlineLevel="0" collapsed="false">
      <c r="A272" s="80" t="n">
        <v>7</v>
      </c>
      <c r="B272" s="68" t="s">
        <v>91</v>
      </c>
      <c r="C272" s="68" t="s">
        <v>43</v>
      </c>
      <c r="D272" s="68" t="s">
        <v>133</v>
      </c>
      <c r="E272" s="68" t="str">
        <f aca="false">C272&amp;D272</f>
        <v>OPALINC3</v>
      </c>
      <c r="F272" s="82" t="n">
        <v>26.751</v>
      </c>
      <c r="G272" s="59"/>
      <c r="H272" s="59"/>
      <c r="I272" s="59"/>
      <c r="J272" s="59"/>
      <c r="K272" s="72"/>
      <c r="L272" s="59"/>
      <c r="M272" s="59"/>
      <c r="N272" s="72"/>
    </row>
    <row r="273" customFormat="false" ht="15.75" hidden="false" customHeight="false" outlineLevel="0" collapsed="false">
      <c r="A273" s="80" t="n">
        <v>7</v>
      </c>
      <c r="B273" s="68" t="s">
        <v>92</v>
      </c>
      <c r="C273" s="68" t="s">
        <v>43</v>
      </c>
      <c r="D273" s="68" t="s">
        <v>105</v>
      </c>
      <c r="E273" s="68" t="str">
        <f aca="false">C273&amp;D273</f>
        <v>OPALINC5</v>
      </c>
      <c r="F273" s="82" t="n">
        <v>27.65</v>
      </c>
      <c r="G273" s="59"/>
      <c r="H273" s="59"/>
      <c r="I273" s="59"/>
      <c r="J273" s="59"/>
      <c r="K273" s="72"/>
      <c r="L273" s="59"/>
      <c r="M273" s="59"/>
      <c r="N273" s="72"/>
    </row>
    <row r="274" customFormat="false" ht="15.75" hidden="false" customHeight="false" outlineLevel="0" collapsed="false">
      <c r="A274" s="80" t="n">
        <v>7</v>
      </c>
      <c r="B274" s="68" t="s">
        <v>93</v>
      </c>
      <c r="C274" s="68" t="s">
        <v>43</v>
      </c>
      <c r="D274" s="68" t="s">
        <v>106</v>
      </c>
      <c r="E274" s="68" t="str">
        <f aca="false">C274&amp;D274</f>
        <v>OPALINC6</v>
      </c>
      <c r="F274" s="82" t="n">
        <v>29.144</v>
      </c>
      <c r="G274" s="59"/>
      <c r="H274" s="59"/>
      <c r="I274" s="59"/>
      <c r="J274" s="59"/>
      <c r="K274" s="72"/>
      <c r="L274" s="59"/>
      <c r="M274" s="59"/>
      <c r="N274" s="72"/>
    </row>
    <row r="275" customFormat="false" ht="15.75" hidden="false" customHeight="false" outlineLevel="0" collapsed="false">
      <c r="A275" s="80" t="n">
        <v>7</v>
      </c>
      <c r="B275" s="68" t="s">
        <v>94</v>
      </c>
      <c r="C275" s="68" t="s">
        <v>43</v>
      </c>
      <c r="D275" s="68" t="s">
        <v>134</v>
      </c>
      <c r="E275" s="68" t="str">
        <f aca="false">C275&amp;D275</f>
        <v>OPALINC7</v>
      </c>
      <c r="F275" s="82" t="n">
        <v>26.807</v>
      </c>
      <c r="G275" s="59"/>
      <c r="H275" s="59"/>
      <c r="I275" s="59"/>
      <c r="J275" s="59"/>
      <c r="K275" s="72"/>
      <c r="L275" s="59"/>
      <c r="M275" s="59"/>
      <c r="N275" s="72"/>
    </row>
    <row r="276" customFormat="false" ht="15.75" hidden="false" customHeight="false" outlineLevel="0" collapsed="false">
      <c r="A276" s="80" t="n">
        <v>7</v>
      </c>
      <c r="B276" s="68" t="s">
        <v>95</v>
      </c>
      <c r="C276" s="68" t="s">
        <v>43</v>
      </c>
      <c r="D276" s="68" t="s">
        <v>135</v>
      </c>
      <c r="E276" s="68" t="str">
        <f aca="false">C276&amp;D276</f>
        <v>OPALINC10</v>
      </c>
      <c r="F276" s="82" t="n">
        <v>26.926</v>
      </c>
      <c r="G276" s="59"/>
      <c r="H276" s="59"/>
      <c r="I276" s="59"/>
      <c r="J276" s="59"/>
      <c r="K276" s="72"/>
      <c r="L276" s="59"/>
      <c r="M276" s="59"/>
      <c r="N276" s="72"/>
    </row>
    <row r="277" customFormat="false" ht="15.75" hidden="false" customHeight="false" outlineLevel="0" collapsed="false">
      <c r="A277" s="80" t="n">
        <v>7</v>
      </c>
      <c r="B277" s="68" t="s">
        <v>96</v>
      </c>
      <c r="C277" s="68" t="s">
        <v>43</v>
      </c>
      <c r="D277" s="68" t="s">
        <v>136</v>
      </c>
      <c r="E277" s="68" t="str">
        <f aca="false">C277&amp;D277</f>
        <v>OPALINC11</v>
      </c>
      <c r="F277" s="82" t="n">
        <v>27.519</v>
      </c>
      <c r="G277" s="59"/>
      <c r="H277" s="59"/>
      <c r="I277" s="59"/>
      <c r="J277" s="59"/>
      <c r="K277" s="72"/>
      <c r="L277" s="59"/>
      <c r="M277" s="59"/>
      <c r="N277" s="72"/>
    </row>
    <row r="278" customFormat="false" ht="15.75" hidden="false" customHeight="false" outlineLevel="0" collapsed="false">
      <c r="A278" s="80" t="n">
        <v>7</v>
      </c>
      <c r="B278" s="68" t="s">
        <v>97</v>
      </c>
      <c r="C278" s="68" t="s">
        <v>43</v>
      </c>
      <c r="D278" s="68" t="s">
        <v>137</v>
      </c>
      <c r="E278" s="68" t="str">
        <f aca="false">C278&amp;D278</f>
        <v>OPALINC12</v>
      </c>
      <c r="F278" s="82" t="n">
        <v>27.656</v>
      </c>
      <c r="G278" s="59"/>
      <c r="H278" s="59"/>
      <c r="I278" s="59"/>
      <c r="J278" s="59"/>
      <c r="K278" s="72"/>
      <c r="L278" s="59"/>
      <c r="M278" s="59"/>
      <c r="N278" s="72"/>
    </row>
    <row r="279" customFormat="false" ht="15.75" hidden="false" customHeight="false" outlineLevel="0" collapsed="false">
      <c r="A279" s="80" t="n">
        <v>7</v>
      </c>
      <c r="B279" s="68" t="s">
        <v>98</v>
      </c>
      <c r="C279" s="68" t="s">
        <v>43</v>
      </c>
      <c r="D279" s="68" t="s">
        <v>138</v>
      </c>
      <c r="E279" s="68" t="str">
        <f aca="false">C279&amp;D279</f>
        <v>OPALINV1</v>
      </c>
      <c r="F279" s="82" t="n">
        <v>27.658</v>
      </c>
      <c r="G279" s="59"/>
      <c r="H279" s="59"/>
      <c r="I279" s="59"/>
      <c r="J279" s="59"/>
      <c r="K279" s="72"/>
      <c r="L279" s="59"/>
      <c r="M279" s="59"/>
      <c r="N279" s="72"/>
    </row>
    <row r="280" customFormat="false" ht="15.75" hidden="false" customHeight="false" outlineLevel="0" collapsed="false">
      <c r="A280" s="80" t="n">
        <v>7</v>
      </c>
      <c r="B280" s="68" t="s">
        <v>99</v>
      </c>
      <c r="C280" s="68" t="s">
        <v>43</v>
      </c>
      <c r="D280" s="68" t="s">
        <v>139</v>
      </c>
      <c r="E280" s="68" t="str">
        <f aca="false">C280&amp;D280</f>
        <v>OPALINV2</v>
      </c>
      <c r="F280" s="82" t="n">
        <v>27.537</v>
      </c>
      <c r="G280" s="59"/>
      <c r="H280" s="59"/>
      <c r="I280" s="59"/>
      <c r="J280" s="59"/>
      <c r="K280" s="72"/>
      <c r="L280" s="59"/>
      <c r="M280" s="59"/>
      <c r="N280" s="72"/>
    </row>
    <row r="281" customFormat="false" ht="15.75" hidden="false" customHeight="false" outlineLevel="0" collapsed="false">
      <c r="A281" s="80" t="n">
        <v>7</v>
      </c>
      <c r="B281" s="68" t="s">
        <v>100</v>
      </c>
      <c r="C281" s="68" t="s">
        <v>43</v>
      </c>
      <c r="D281" s="68" t="s">
        <v>140</v>
      </c>
      <c r="E281" s="68" t="str">
        <f aca="false">C281&amp;D281</f>
        <v>OPALINV3</v>
      </c>
      <c r="F281" s="82" t="n">
        <v>27.941</v>
      </c>
      <c r="G281" s="59"/>
      <c r="H281" s="59"/>
      <c r="I281" s="59"/>
      <c r="J281" s="59"/>
      <c r="K281" s="72"/>
      <c r="L281" s="59"/>
      <c r="M281" s="59"/>
      <c r="N281" s="72"/>
    </row>
    <row r="282" customFormat="false" ht="15.75" hidden="false" customHeight="false" outlineLevel="0" collapsed="false">
      <c r="A282" s="80" t="n">
        <v>7</v>
      </c>
      <c r="B282" s="68" t="s">
        <v>101</v>
      </c>
      <c r="C282" s="68" t="s">
        <v>43</v>
      </c>
      <c r="D282" s="68" t="s">
        <v>141</v>
      </c>
      <c r="E282" s="68" t="str">
        <f aca="false">C282&amp;D282</f>
        <v>OPALINV4</v>
      </c>
      <c r="F282" s="82" t="n">
        <v>27.037</v>
      </c>
      <c r="G282" s="59"/>
      <c r="H282" s="59"/>
      <c r="I282" s="59"/>
      <c r="J282" s="59"/>
      <c r="K282" s="72"/>
      <c r="L282" s="59"/>
      <c r="M282" s="59"/>
      <c r="N282" s="72"/>
    </row>
    <row r="283" customFormat="false" ht="15.75" hidden="false" customHeight="false" outlineLevel="0" collapsed="false">
      <c r="A283" s="80" t="n">
        <v>7</v>
      </c>
      <c r="B283" s="68" t="s">
        <v>102</v>
      </c>
      <c r="C283" s="68" t="s">
        <v>43</v>
      </c>
      <c r="D283" s="68" t="s">
        <v>142</v>
      </c>
      <c r="E283" s="68" t="str">
        <f aca="false">C283&amp;D283</f>
        <v>OPALINV5</v>
      </c>
      <c r="F283" s="82" t="n">
        <v>26.375</v>
      </c>
      <c r="G283" s="59"/>
      <c r="H283" s="59"/>
      <c r="I283" s="59"/>
      <c r="J283" s="59"/>
      <c r="K283" s="72"/>
      <c r="L283" s="59"/>
      <c r="M283" s="59"/>
      <c r="N283" s="72"/>
    </row>
    <row r="284" customFormat="false" ht="15.75" hidden="false" customHeight="false" outlineLevel="0" collapsed="false">
      <c r="A284" s="80" t="n">
        <v>7</v>
      </c>
      <c r="B284" s="68" t="s">
        <v>103</v>
      </c>
      <c r="C284" s="68" t="s">
        <v>43</v>
      </c>
      <c r="D284" s="68" t="s">
        <v>143</v>
      </c>
      <c r="E284" s="68" t="str">
        <f aca="false">C284&amp;D284</f>
        <v>OPALINV7</v>
      </c>
      <c r="F284" s="82" t="n">
        <v>27.605</v>
      </c>
      <c r="G284" s="59"/>
      <c r="H284" s="59"/>
      <c r="I284" s="59"/>
      <c r="J284" s="59"/>
      <c r="K284" s="72"/>
      <c r="L284" s="59"/>
      <c r="M284" s="59"/>
      <c r="N284" s="72"/>
    </row>
    <row r="285" customFormat="false" ht="15.75" hidden="false" customHeight="false" outlineLevel="0" collapsed="false">
      <c r="A285" s="80" t="n">
        <v>7</v>
      </c>
      <c r="B285" s="68" t="s">
        <v>104</v>
      </c>
      <c r="C285" s="68" t="s">
        <v>43</v>
      </c>
      <c r="D285" s="68" t="s">
        <v>144</v>
      </c>
      <c r="E285" s="68" t="str">
        <f aca="false">C285&amp;D285</f>
        <v>OPALINV8</v>
      </c>
      <c r="F285" s="82" t="n">
        <v>26.634</v>
      </c>
      <c r="G285" s="59"/>
      <c r="H285" s="59"/>
      <c r="I285" s="59"/>
      <c r="J285" s="59"/>
      <c r="K285" s="72"/>
      <c r="L285" s="59"/>
      <c r="M285" s="59"/>
      <c r="N285" s="72"/>
    </row>
    <row r="286" customFormat="false" ht="15.75" hidden="false" customHeight="false" outlineLevel="0" collapsed="false">
      <c r="A286" s="80" t="n">
        <v>7</v>
      </c>
      <c r="B286" s="68" t="s">
        <v>105</v>
      </c>
      <c r="C286" s="68" t="s">
        <v>43</v>
      </c>
      <c r="D286" s="68" t="s">
        <v>145</v>
      </c>
      <c r="E286" s="68" t="str">
        <f aca="false">C286&amp;D286</f>
        <v>OPALINV10</v>
      </c>
      <c r="F286" s="82" t="n">
        <v>27.419</v>
      </c>
      <c r="G286" s="59"/>
      <c r="H286" s="59"/>
      <c r="I286" s="59"/>
      <c r="J286" s="59"/>
      <c r="K286" s="72"/>
      <c r="L286" s="59"/>
      <c r="M286" s="59"/>
      <c r="N286" s="72"/>
    </row>
    <row r="287" customFormat="false" ht="15.75" hidden="false" customHeight="false" outlineLevel="0" collapsed="false">
      <c r="A287" s="80" t="n">
        <v>7</v>
      </c>
      <c r="B287" s="68" t="s">
        <v>106</v>
      </c>
      <c r="C287" s="68" t="s">
        <v>43</v>
      </c>
      <c r="D287" s="68" t="s">
        <v>146</v>
      </c>
      <c r="E287" s="68" t="str">
        <f aca="false">C287&amp;D287</f>
        <v>OPALINV12</v>
      </c>
      <c r="F287" s="82" t="n">
        <v>27.96</v>
      </c>
      <c r="G287" s="59"/>
      <c r="H287" s="59"/>
      <c r="I287" s="59"/>
      <c r="J287" s="59"/>
      <c r="K287" s="72"/>
      <c r="L287" s="59"/>
      <c r="M287" s="59"/>
      <c r="N287" s="72"/>
    </row>
    <row r="288" customFormat="false" ht="15.75" hidden="false" customHeight="false" outlineLevel="0" collapsed="false">
      <c r="A288" s="80" t="n">
        <v>7</v>
      </c>
      <c r="B288" s="68" t="s">
        <v>107</v>
      </c>
      <c r="C288" s="68" t="s">
        <v>44</v>
      </c>
      <c r="D288" s="81" t="n">
        <v>1</v>
      </c>
      <c r="E288" s="68" t="str">
        <f aca="false">C288&amp;D288</f>
        <v>FGF11</v>
      </c>
      <c r="F288" s="82" t="n">
        <v>22.36</v>
      </c>
      <c r="G288" s="59"/>
      <c r="H288" s="59"/>
      <c r="I288" s="59"/>
      <c r="J288" s="59"/>
      <c r="K288" s="72"/>
      <c r="L288" s="59"/>
      <c r="M288" s="59"/>
      <c r="N288" s="72"/>
    </row>
    <row r="289" customFormat="false" ht="15.75" hidden="false" customHeight="false" outlineLevel="0" collapsed="false">
      <c r="A289" s="80" t="n">
        <v>7</v>
      </c>
      <c r="B289" s="68" t="s">
        <v>108</v>
      </c>
      <c r="C289" s="68" t="s">
        <v>44</v>
      </c>
      <c r="D289" s="81" t="n">
        <v>0.1</v>
      </c>
      <c r="E289" s="68" t="str">
        <f aca="false">C289&amp;D289</f>
        <v>FGF10.1</v>
      </c>
      <c r="F289" s="82" t="n">
        <v>25.662</v>
      </c>
      <c r="G289" s="59"/>
      <c r="H289" s="59"/>
      <c r="I289" s="59"/>
      <c r="J289" s="59"/>
      <c r="K289" s="72"/>
      <c r="L289" s="59"/>
      <c r="M289" s="59"/>
      <c r="N289" s="72"/>
    </row>
    <row r="290" customFormat="false" ht="15.75" hidden="false" customHeight="false" outlineLevel="0" collapsed="false">
      <c r="A290" s="80" t="n">
        <v>7</v>
      </c>
      <c r="B290" s="68" t="s">
        <v>109</v>
      </c>
      <c r="C290" s="68" t="s">
        <v>44</v>
      </c>
      <c r="D290" s="81" t="n">
        <v>0.01</v>
      </c>
      <c r="E290" s="68" t="str">
        <f aca="false">C290&amp;D290</f>
        <v>FGF10.01</v>
      </c>
      <c r="F290" s="82" t="n">
        <v>28.753</v>
      </c>
      <c r="G290" s="59"/>
      <c r="H290" s="59"/>
      <c r="I290" s="59"/>
      <c r="J290" s="59"/>
      <c r="K290" s="72"/>
      <c r="L290" s="59"/>
      <c r="M290" s="59"/>
      <c r="N290" s="72"/>
    </row>
    <row r="291" customFormat="false" ht="15.75" hidden="false" customHeight="false" outlineLevel="0" collapsed="false">
      <c r="A291" s="80" t="n">
        <v>7</v>
      </c>
      <c r="B291" s="68" t="s">
        <v>110</v>
      </c>
      <c r="C291" s="68" t="s">
        <v>44</v>
      </c>
      <c r="D291" s="84" t="n">
        <v>0.001</v>
      </c>
      <c r="E291" s="68" t="str">
        <f aca="false">C291&amp;D291</f>
        <v>FGF10.001</v>
      </c>
      <c r="F291" s="82" t="n">
        <v>32.223</v>
      </c>
      <c r="G291" s="59"/>
      <c r="H291" s="59"/>
      <c r="I291" s="59"/>
      <c r="J291" s="59"/>
      <c r="K291" s="72"/>
      <c r="L291" s="59"/>
      <c r="M291" s="59"/>
      <c r="N291" s="72"/>
    </row>
    <row r="292" customFormat="false" ht="15.75" hidden="false" customHeight="false" outlineLevel="0" collapsed="false">
      <c r="A292" s="80" t="n">
        <v>7</v>
      </c>
      <c r="B292" s="68" t="s">
        <v>111</v>
      </c>
      <c r="C292" s="68" t="s">
        <v>44</v>
      </c>
      <c r="D292" s="68" t="s">
        <v>131</v>
      </c>
      <c r="E292" s="68" t="str">
        <f aca="false">C292&amp;D292</f>
        <v>FGF1C1</v>
      </c>
      <c r="F292" s="82" t="n">
        <v>23.172</v>
      </c>
      <c r="G292" s="59"/>
      <c r="H292" s="59"/>
      <c r="I292" s="59"/>
      <c r="J292" s="59"/>
      <c r="K292" s="72"/>
      <c r="L292" s="59"/>
      <c r="M292" s="59"/>
      <c r="N292" s="72"/>
    </row>
    <row r="293" customFormat="false" ht="15.75" hidden="false" customHeight="false" outlineLevel="0" collapsed="false">
      <c r="A293" s="80" t="n">
        <v>7</v>
      </c>
      <c r="B293" s="68" t="s">
        <v>112</v>
      </c>
      <c r="C293" s="68" t="s">
        <v>44</v>
      </c>
      <c r="D293" s="68" t="s">
        <v>132</v>
      </c>
      <c r="E293" s="68" t="str">
        <f aca="false">C293&amp;D293</f>
        <v>FGF1C2</v>
      </c>
      <c r="F293" s="82" t="n">
        <v>22.946</v>
      </c>
      <c r="G293" s="59"/>
      <c r="H293" s="59"/>
      <c r="I293" s="59"/>
      <c r="J293" s="59"/>
      <c r="K293" s="72"/>
      <c r="L293" s="59"/>
      <c r="M293" s="59"/>
      <c r="N293" s="72"/>
    </row>
    <row r="294" customFormat="false" ht="15.75" hidden="false" customHeight="false" outlineLevel="0" collapsed="false">
      <c r="A294" s="80" t="n">
        <v>7</v>
      </c>
      <c r="B294" s="68" t="s">
        <v>113</v>
      </c>
      <c r="C294" s="68" t="s">
        <v>44</v>
      </c>
      <c r="D294" s="68" t="s">
        <v>133</v>
      </c>
      <c r="E294" s="68" t="str">
        <f aca="false">C294&amp;D294</f>
        <v>FGF1C3</v>
      </c>
      <c r="F294" s="82" t="n">
        <v>23.342</v>
      </c>
      <c r="G294" s="59"/>
      <c r="H294" s="59"/>
      <c r="I294" s="59"/>
      <c r="J294" s="59"/>
      <c r="K294" s="72"/>
      <c r="L294" s="59"/>
      <c r="M294" s="59"/>
      <c r="N294" s="72"/>
    </row>
    <row r="295" customFormat="false" ht="15.75" hidden="false" customHeight="false" outlineLevel="0" collapsed="false">
      <c r="A295" s="80" t="n">
        <v>7</v>
      </c>
      <c r="B295" s="68" t="s">
        <v>114</v>
      </c>
      <c r="C295" s="68" t="s">
        <v>44</v>
      </c>
      <c r="D295" s="68" t="s">
        <v>105</v>
      </c>
      <c r="E295" s="68" t="str">
        <f aca="false">C295&amp;D295</f>
        <v>FGF1C5</v>
      </c>
      <c r="F295" s="82" t="n">
        <v>23.487</v>
      </c>
      <c r="G295" s="59"/>
      <c r="H295" s="59"/>
      <c r="I295" s="59"/>
      <c r="J295" s="59"/>
      <c r="K295" s="72"/>
      <c r="L295" s="59"/>
      <c r="M295" s="59"/>
      <c r="N295" s="72"/>
    </row>
    <row r="296" customFormat="false" ht="15.75" hidden="false" customHeight="false" outlineLevel="0" collapsed="false">
      <c r="A296" s="80" t="n">
        <v>7</v>
      </c>
      <c r="B296" s="68" t="s">
        <v>115</v>
      </c>
      <c r="C296" s="68" t="s">
        <v>44</v>
      </c>
      <c r="D296" s="68" t="s">
        <v>106</v>
      </c>
      <c r="E296" s="68" t="str">
        <f aca="false">C296&amp;D296</f>
        <v>FGF1C6</v>
      </c>
      <c r="F296" s="82" t="n">
        <v>23.828</v>
      </c>
      <c r="G296" s="59"/>
      <c r="H296" s="59"/>
      <c r="I296" s="59"/>
      <c r="J296" s="59"/>
      <c r="K296" s="72"/>
      <c r="L296" s="59"/>
      <c r="M296" s="59"/>
      <c r="N296" s="72"/>
    </row>
    <row r="297" customFormat="false" ht="15.75" hidden="false" customHeight="false" outlineLevel="0" collapsed="false">
      <c r="A297" s="80" t="n">
        <v>7</v>
      </c>
      <c r="B297" s="68" t="s">
        <v>116</v>
      </c>
      <c r="C297" s="68" t="s">
        <v>44</v>
      </c>
      <c r="D297" s="68" t="s">
        <v>134</v>
      </c>
      <c r="E297" s="68" t="str">
        <f aca="false">C297&amp;D297</f>
        <v>FGF1C7</v>
      </c>
      <c r="F297" s="82" t="n">
        <v>22.723</v>
      </c>
      <c r="G297" s="59"/>
      <c r="H297" s="59"/>
      <c r="I297" s="59"/>
      <c r="J297" s="59"/>
      <c r="K297" s="72"/>
      <c r="L297" s="59"/>
      <c r="M297" s="59"/>
      <c r="N297" s="72"/>
    </row>
    <row r="298" customFormat="false" ht="15.75" hidden="false" customHeight="false" outlineLevel="0" collapsed="false">
      <c r="A298" s="80" t="n">
        <v>7</v>
      </c>
      <c r="B298" s="68" t="s">
        <v>117</v>
      </c>
      <c r="C298" s="68" t="s">
        <v>44</v>
      </c>
      <c r="D298" s="68" t="s">
        <v>135</v>
      </c>
      <c r="E298" s="68" t="str">
        <f aca="false">C298&amp;D298</f>
        <v>FGF1C10</v>
      </c>
      <c r="F298" s="82" t="n">
        <v>23.373</v>
      </c>
      <c r="G298" s="59"/>
      <c r="H298" s="59"/>
      <c r="I298" s="59"/>
      <c r="J298" s="59"/>
      <c r="K298" s="72"/>
      <c r="L298" s="59"/>
      <c r="M298" s="59"/>
      <c r="N298" s="72"/>
    </row>
    <row r="299" customFormat="false" ht="15.75" hidden="false" customHeight="false" outlineLevel="0" collapsed="false">
      <c r="A299" s="80" t="n">
        <v>7</v>
      </c>
      <c r="B299" s="68" t="s">
        <v>118</v>
      </c>
      <c r="C299" s="68" t="s">
        <v>44</v>
      </c>
      <c r="D299" s="68" t="s">
        <v>136</v>
      </c>
      <c r="E299" s="68" t="str">
        <f aca="false">C299&amp;D299</f>
        <v>FGF1C11</v>
      </c>
      <c r="F299" s="82" t="n">
        <v>23.604</v>
      </c>
      <c r="G299" s="59"/>
      <c r="H299" s="59"/>
      <c r="I299" s="59"/>
      <c r="J299" s="59"/>
      <c r="K299" s="72"/>
      <c r="L299" s="59"/>
      <c r="M299" s="59"/>
      <c r="N299" s="72"/>
    </row>
    <row r="300" customFormat="false" ht="15.75" hidden="false" customHeight="false" outlineLevel="0" collapsed="false">
      <c r="A300" s="80" t="n">
        <v>7</v>
      </c>
      <c r="B300" s="68" t="s">
        <v>119</v>
      </c>
      <c r="C300" s="68" t="s">
        <v>44</v>
      </c>
      <c r="D300" s="68" t="s">
        <v>137</v>
      </c>
      <c r="E300" s="68" t="str">
        <f aca="false">C300&amp;D300</f>
        <v>FGF1C12</v>
      </c>
      <c r="F300" s="82" t="n">
        <v>23.282</v>
      </c>
      <c r="G300" s="59"/>
      <c r="H300" s="59"/>
      <c r="I300" s="59"/>
      <c r="J300" s="59"/>
      <c r="K300" s="72"/>
      <c r="L300" s="59"/>
      <c r="M300" s="59"/>
      <c r="N300" s="72"/>
    </row>
    <row r="301" customFormat="false" ht="15.75" hidden="false" customHeight="false" outlineLevel="0" collapsed="false">
      <c r="A301" s="80" t="n">
        <v>7</v>
      </c>
      <c r="B301" s="68" t="s">
        <v>120</v>
      </c>
      <c r="C301" s="68" t="s">
        <v>44</v>
      </c>
      <c r="D301" s="68" t="s">
        <v>138</v>
      </c>
      <c r="E301" s="68" t="str">
        <f aca="false">C301&amp;D301</f>
        <v>FGF1V1</v>
      </c>
      <c r="F301" s="82" t="n">
        <v>23.377</v>
      </c>
      <c r="G301" s="59"/>
      <c r="H301" s="59"/>
      <c r="I301" s="59"/>
      <c r="J301" s="59"/>
      <c r="K301" s="72"/>
      <c r="L301" s="59"/>
      <c r="M301" s="59"/>
      <c r="N301" s="72"/>
    </row>
    <row r="302" customFormat="false" ht="15.75" hidden="false" customHeight="false" outlineLevel="0" collapsed="false">
      <c r="A302" s="80" t="n">
        <v>7</v>
      </c>
      <c r="B302" s="68" t="s">
        <v>121</v>
      </c>
      <c r="C302" s="68" t="s">
        <v>44</v>
      </c>
      <c r="D302" s="68" t="s">
        <v>139</v>
      </c>
      <c r="E302" s="68" t="str">
        <f aca="false">C302&amp;D302</f>
        <v>FGF1V2</v>
      </c>
      <c r="F302" s="82" t="n">
        <v>23.041</v>
      </c>
      <c r="G302" s="59"/>
      <c r="H302" s="59"/>
      <c r="I302" s="59"/>
      <c r="J302" s="59"/>
      <c r="K302" s="72"/>
      <c r="L302" s="59"/>
      <c r="M302" s="59"/>
      <c r="N302" s="72"/>
    </row>
    <row r="303" customFormat="false" ht="15.75" hidden="false" customHeight="false" outlineLevel="0" collapsed="false">
      <c r="A303" s="80" t="n">
        <v>7</v>
      </c>
      <c r="B303" s="68" t="s">
        <v>122</v>
      </c>
      <c r="C303" s="68" t="s">
        <v>44</v>
      </c>
      <c r="D303" s="68" t="s">
        <v>140</v>
      </c>
      <c r="E303" s="68" t="str">
        <f aca="false">C303&amp;D303</f>
        <v>FGF1V3</v>
      </c>
      <c r="F303" s="82" t="n">
        <v>23.034</v>
      </c>
      <c r="G303" s="59"/>
      <c r="H303" s="59"/>
      <c r="I303" s="59"/>
      <c r="J303" s="59"/>
      <c r="K303" s="72"/>
      <c r="L303" s="59"/>
      <c r="M303" s="59"/>
      <c r="N303" s="72"/>
    </row>
    <row r="304" customFormat="false" ht="15.75" hidden="false" customHeight="false" outlineLevel="0" collapsed="false">
      <c r="A304" s="80" t="n">
        <v>7</v>
      </c>
      <c r="B304" s="68" t="s">
        <v>123</v>
      </c>
      <c r="C304" s="68" t="s">
        <v>44</v>
      </c>
      <c r="D304" s="68" t="s">
        <v>141</v>
      </c>
      <c r="E304" s="68" t="str">
        <f aca="false">C304&amp;D304</f>
        <v>FGF1V4</v>
      </c>
      <c r="F304" s="82" t="n">
        <v>23.313</v>
      </c>
      <c r="G304" s="59"/>
      <c r="H304" s="59"/>
      <c r="I304" s="59"/>
      <c r="J304" s="59"/>
      <c r="K304" s="72"/>
      <c r="L304" s="59"/>
      <c r="M304" s="59"/>
      <c r="N304" s="72"/>
    </row>
    <row r="305" customFormat="false" ht="15.75" hidden="false" customHeight="false" outlineLevel="0" collapsed="false">
      <c r="A305" s="80" t="n">
        <v>7</v>
      </c>
      <c r="B305" s="68" t="s">
        <v>124</v>
      </c>
      <c r="C305" s="68" t="s">
        <v>44</v>
      </c>
      <c r="D305" s="68" t="s">
        <v>142</v>
      </c>
      <c r="E305" s="68" t="str">
        <f aca="false">C305&amp;D305</f>
        <v>FGF1V5</v>
      </c>
      <c r="F305" s="82" t="n">
        <v>22.295</v>
      </c>
      <c r="G305" s="59"/>
      <c r="H305" s="59"/>
      <c r="I305" s="59"/>
      <c r="J305" s="59"/>
      <c r="K305" s="72"/>
      <c r="L305" s="59"/>
      <c r="M305" s="59"/>
      <c r="N305" s="72"/>
    </row>
    <row r="306" customFormat="false" ht="15.75" hidden="false" customHeight="false" outlineLevel="0" collapsed="false">
      <c r="A306" s="80" t="n">
        <v>7</v>
      </c>
      <c r="B306" s="68" t="s">
        <v>125</v>
      </c>
      <c r="C306" s="68" t="s">
        <v>44</v>
      </c>
      <c r="D306" s="68" t="s">
        <v>143</v>
      </c>
      <c r="E306" s="68" t="str">
        <f aca="false">C306&amp;D306</f>
        <v>FGF1V7</v>
      </c>
      <c r="F306" s="82" t="n">
        <v>22.935</v>
      </c>
      <c r="G306" s="59"/>
      <c r="H306" s="59"/>
      <c r="I306" s="59"/>
      <c r="J306" s="59"/>
      <c r="K306" s="72"/>
      <c r="L306" s="59"/>
      <c r="M306" s="59"/>
      <c r="N306" s="72"/>
    </row>
    <row r="307" customFormat="false" ht="15.75" hidden="false" customHeight="false" outlineLevel="0" collapsed="false">
      <c r="A307" s="80" t="n">
        <v>7</v>
      </c>
      <c r="B307" s="68" t="s">
        <v>126</v>
      </c>
      <c r="C307" s="68" t="s">
        <v>44</v>
      </c>
      <c r="D307" s="68" t="s">
        <v>144</v>
      </c>
      <c r="E307" s="68" t="str">
        <f aca="false">C307&amp;D307</f>
        <v>FGF1V8</v>
      </c>
      <c r="F307" s="82" t="n">
        <v>23.047</v>
      </c>
      <c r="G307" s="59"/>
      <c r="H307" s="59"/>
      <c r="I307" s="59"/>
      <c r="J307" s="59"/>
      <c r="K307" s="72"/>
      <c r="L307" s="59"/>
      <c r="M307" s="59"/>
      <c r="N307" s="72"/>
    </row>
    <row r="308" customFormat="false" ht="15.75" hidden="false" customHeight="false" outlineLevel="0" collapsed="false">
      <c r="A308" s="80" t="n">
        <v>7</v>
      </c>
      <c r="B308" s="68" t="s">
        <v>127</v>
      </c>
      <c r="C308" s="68" t="s">
        <v>44</v>
      </c>
      <c r="D308" s="68" t="s">
        <v>145</v>
      </c>
      <c r="E308" s="68" t="str">
        <f aca="false">C308&amp;D308</f>
        <v>FGF1V10</v>
      </c>
      <c r="F308" s="82" t="n">
        <v>23.225</v>
      </c>
      <c r="G308" s="59"/>
      <c r="H308" s="59"/>
      <c r="I308" s="59"/>
      <c r="J308" s="59"/>
      <c r="K308" s="72"/>
      <c r="L308" s="59"/>
      <c r="M308" s="59"/>
      <c r="N308" s="72"/>
    </row>
    <row r="309" customFormat="false" ht="15.75" hidden="false" customHeight="false" outlineLevel="0" collapsed="false">
      <c r="A309" s="89" t="n">
        <v>7</v>
      </c>
      <c r="B309" s="86" t="s">
        <v>128</v>
      </c>
      <c r="C309" s="86" t="s">
        <v>44</v>
      </c>
      <c r="D309" s="86" t="s">
        <v>146</v>
      </c>
      <c r="E309" s="86" t="str">
        <f aca="false">C309&amp;D309</f>
        <v>FGF1V12</v>
      </c>
      <c r="F309" s="88" t="n">
        <v>23.562</v>
      </c>
      <c r="G309" s="59"/>
      <c r="H309" s="59"/>
      <c r="I309" s="59"/>
      <c r="J309" s="59"/>
      <c r="K309" s="72"/>
      <c r="L309" s="59"/>
      <c r="M309" s="59"/>
      <c r="N309" s="72"/>
    </row>
  </sheetData>
  <autoFilter ref="A1:F309"/>
  <mergeCells count="1">
    <mergeCell ref="M2:N3"/>
  </mergeCells>
  <conditionalFormatting sqref="H2">
    <cfRule type="expression" priority="2" aboveAverage="0" equalAverage="0" bottom="0" percent="0" rank="0" text="" dxfId="2">
      <formula>LEN(TRIM(H2))&gt;0</formula>
    </cfRule>
  </conditionalFormatting>
  <dataValidations count="1">
    <dataValidation allowBlank="true" errorStyle="stop" operator="between" showDropDown="false" showErrorMessage="false" showInputMessage="false" sqref="H2" type="list">
      <formula1>'GENELISTDATA INIGUEZ'!$A:$A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outlinePr summaryBelow="0"/>
    <pageSetUpPr fitToPage="false"/>
  </sheetPr>
  <dimension ref="A1:N30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J1" activeCellId="0" sqref="J1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0" width="9.63"/>
    <col collapsed="false" customWidth="true" hidden="false" outlineLevel="0" max="2" min="2" style="0" width="8.77"/>
    <col collapsed="false" customWidth="true" hidden="false" outlineLevel="0" max="3" min="3" style="0" width="15.09"/>
    <col collapsed="false" customWidth="true" hidden="false" outlineLevel="0" max="4" min="4" style="0" width="11.45"/>
    <col collapsed="false" customWidth="true" hidden="false" outlineLevel="0" max="5" min="5" style="0" width="14.96"/>
    <col collapsed="false" customWidth="true" hidden="false" outlineLevel="0" max="6" min="6" style="0" width="14.12"/>
    <col collapsed="false" customWidth="true" hidden="false" outlineLevel="0" max="8" min="8" style="0" width="22.49"/>
    <col collapsed="false" customWidth="true" hidden="true" outlineLevel="0" max="9" min="9" style="0" width="13.03"/>
    <col collapsed="false" customWidth="true" hidden="false" outlineLevel="0" max="10" min="10" style="0" width="8.66"/>
    <col collapsed="false" customWidth="true" hidden="false" outlineLevel="0" max="11" min="11" style="0" width="8.3"/>
    <col collapsed="false" customWidth="true" hidden="false" outlineLevel="0" max="13" min="13" style="0" width="12.9"/>
    <col collapsed="false" customWidth="true" hidden="false" outlineLevel="0" max="14" min="14" style="0" width="8.3"/>
  </cols>
  <sheetData>
    <row r="1" customFormat="false" ht="15.75" hidden="false" customHeight="false" outlineLevel="0" collapsed="false">
      <c r="A1" s="69" t="s">
        <v>0</v>
      </c>
      <c r="B1" s="70" t="s">
        <v>147</v>
      </c>
      <c r="C1" s="70" t="s">
        <v>49</v>
      </c>
      <c r="D1" s="70" t="s">
        <v>130</v>
      </c>
      <c r="E1" s="70"/>
      <c r="F1" s="71" t="s">
        <v>52</v>
      </c>
      <c r="G1" s="59"/>
      <c r="H1" s="95" t="s">
        <v>156</v>
      </c>
      <c r="I1" s="59"/>
      <c r="J1" s="59"/>
      <c r="K1" s="72"/>
      <c r="L1" s="59"/>
      <c r="M1" s="59"/>
      <c r="N1" s="72"/>
    </row>
    <row r="2" customFormat="false" ht="15.75" hidden="false" customHeight="false" outlineLevel="0" collapsed="false">
      <c r="A2" s="73" t="n">
        <v>1</v>
      </c>
      <c r="B2" s="74" t="s">
        <v>80</v>
      </c>
      <c r="C2" s="74" t="s">
        <v>22</v>
      </c>
      <c r="D2" s="75" t="n">
        <v>1</v>
      </c>
      <c r="E2" s="74" t="str">
        <f aca="false">C2&amp;D2</f>
        <v>INSRR1</v>
      </c>
      <c r="F2" s="76" t="n">
        <v>29.576</v>
      </c>
      <c r="G2" s="59"/>
      <c r="H2" s="77" t="s">
        <v>37</v>
      </c>
      <c r="I2" s="78" t="s">
        <v>148</v>
      </c>
      <c r="J2" s="78" t="s">
        <v>149</v>
      </c>
      <c r="K2" s="79" t="s">
        <v>150</v>
      </c>
      <c r="L2" s="59"/>
      <c r="M2" s="37" t="s">
        <v>151</v>
      </c>
      <c r="N2" s="37"/>
    </row>
    <row r="3" customFormat="false" ht="15.75" hidden="false" customHeight="false" outlineLevel="0" collapsed="false">
      <c r="A3" s="80" t="n">
        <v>1</v>
      </c>
      <c r="B3" s="68" t="s">
        <v>85</v>
      </c>
      <c r="C3" s="68" t="s">
        <v>22</v>
      </c>
      <c r="D3" s="81" t="n">
        <v>0.1</v>
      </c>
      <c r="E3" s="68" t="str">
        <f aca="false">C3&amp;D3</f>
        <v>INSRR0.1</v>
      </c>
      <c r="F3" s="82" t="n">
        <v>32.381</v>
      </c>
      <c r="G3" s="59"/>
      <c r="H3" s="96" t="n">
        <v>1</v>
      </c>
      <c r="I3" s="97" t="str">
        <f aca="false">H2&amp;H3</f>
        <v>BCAS11</v>
      </c>
      <c r="J3" s="98" t="n">
        <f aca="false">VLOOKUP(I3, E:F,2,0)</f>
        <v>28.998</v>
      </c>
      <c r="K3" s="99" t="n">
        <f aca="false">LOG10(H3)</f>
        <v>0</v>
      </c>
      <c r="L3" s="59"/>
      <c r="M3" s="37"/>
      <c r="N3" s="37"/>
    </row>
    <row r="4" customFormat="false" ht="15.75" hidden="false" customHeight="false" outlineLevel="0" collapsed="false">
      <c r="A4" s="80" t="n">
        <v>1</v>
      </c>
      <c r="B4" s="68" t="s">
        <v>86</v>
      </c>
      <c r="C4" s="68" t="s">
        <v>22</v>
      </c>
      <c r="D4" s="81" t="n">
        <v>0.01</v>
      </c>
      <c r="E4" s="68" t="str">
        <f aca="false">C4&amp;D4</f>
        <v>INSRR0.01</v>
      </c>
      <c r="F4" s="82" t="n">
        <v>36.337</v>
      </c>
      <c r="G4" s="59"/>
      <c r="H4" s="83" t="n">
        <v>0.1</v>
      </c>
      <c r="I4" s="68" t="str">
        <f aca="false">$H$2&amp;$H4</f>
        <v>BCAS10.1</v>
      </c>
      <c r="J4" s="67" t="n">
        <f aca="false">VLOOKUP(I4, E:F,2,0)</f>
        <v>27.722</v>
      </c>
      <c r="K4" s="82" t="n">
        <f aca="false">LOG10(H4)</f>
        <v>-1</v>
      </c>
      <c r="L4" s="59"/>
      <c r="M4" s="80" t="s">
        <v>152</v>
      </c>
      <c r="N4" s="82" t="n">
        <f aca="false">RSQ($K$4:$K$6,$J$4:$J$6)</f>
        <v>0.97203413743585</v>
      </c>
    </row>
    <row r="5" customFormat="false" ht="15.75" hidden="false" customHeight="false" outlineLevel="0" collapsed="false">
      <c r="A5" s="80" t="n">
        <v>1</v>
      </c>
      <c r="B5" s="68" t="s">
        <v>87</v>
      </c>
      <c r="C5" s="68" t="s">
        <v>22</v>
      </c>
      <c r="D5" s="84" t="n">
        <v>0.001</v>
      </c>
      <c r="E5" s="68" t="str">
        <f aca="false">C5&amp;D5</f>
        <v>INSRR0.001</v>
      </c>
      <c r="F5" s="82" t="s">
        <v>88</v>
      </c>
      <c r="G5" s="59"/>
      <c r="H5" s="83" t="n">
        <v>0.01</v>
      </c>
      <c r="I5" s="68" t="str">
        <f aca="false">$H$2&amp;$H5</f>
        <v>BCAS10.01</v>
      </c>
      <c r="J5" s="67" t="n">
        <f aca="false">VLOOKUP(I5, E:F,2,0)</f>
        <v>31.877</v>
      </c>
      <c r="K5" s="82" t="n">
        <f aca="false">LOG10(H5)</f>
        <v>-2</v>
      </c>
      <c r="L5" s="59"/>
      <c r="M5" s="80" t="s">
        <v>153</v>
      </c>
      <c r="N5" s="82" t="n">
        <f aca="false">SLOPE($K$4:$K$6,$J$4:$J$6)</f>
        <v>-0.302672937081068</v>
      </c>
    </row>
    <row r="6" customFormat="false" ht="15.75" hidden="false" customHeight="false" outlineLevel="0" collapsed="false">
      <c r="A6" s="80" t="n">
        <v>1</v>
      </c>
      <c r="B6" s="68" t="s">
        <v>89</v>
      </c>
      <c r="C6" s="68" t="s">
        <v>22</v>
      </c>
      <c r="D6" s="68" t="s">
        <v>131</v>
      </c>
      <c r="E6" s="68" t="str">
        <f aca="false">C6&amp;D6</f>
        <v>INSRRC1</v>
      </c>
      <c r="F6" s="82" t="n">
        <v>30.175</v>
      </c>
      <c r="G6" s="59"/>
      <c r="H6" s="85" t="n">
        <v>0.001</v>
      </c>
      <c r="I6" s="86" t="str">
        <f aca="false">$H$2&amp;$H6</f>
        <v>BCAS10.001</v>
      </c>
      <c r="J6" s="87" t="n">
        <f aca="false">VLOOKUP(I6, E:F,2,0)</f>
        <v>34.145</v>
      </c>
      <c r="K6" s="88" t="n">
        <f aca="false">LOG10(H6)</f>
        <v>-3</v>
      </c>
      <c r="L6" s="59"/>
      <c r="M6" s="89" t="s">
        <v>154</v>
      </c>
      <c r="N6" s="88" t="n">
        <f aca="false">INTERCEPT($K$4:$K$6,$J$4:$J$6)</f>
        <v>7.45792393790921</v>
      </c>
    </row>
    <row r="7" customFormat="false" ht="15.75" hidden="false" customHeight="false" outlineLevel="0" collapsed="false">
      <c r="A7" s="80" t="n">
        <v>1</v>
      </c>
      <c r="B7" s="68" t="s">
        <v>90</v>
      </c>
      <c r="C7" s="68" t="s">
        <v>22</v>
      </c>
      <c r="D7" s="68" t="s">
        <v>132</v>
      </c>
      <c r="E7" s="68" t="str">
        <f aca="false">C7&amp;D7</f>
        <v>INSRRC2</v>
      </c>
      <c r="F7" s="82" t="n">
        <v>29.72</v>
      </c>
      <c r="G7" s="59"/>
      <c r="H7" s="59"/>
      <c r="I7" s="59"/>
      <c r="J7" s="59"/>
      <c r="K7" s="72"/>
      <c r="L7" s="59"/>
      <c r="M7" s="59"/>
      <c r="N7" s="72"/>
    </row>
    <row r="8" customFormat="false" ht="15.75" hidden="false" customHeight="false" outlineLevel="0" collapsed="false">
      <c r="A8" s="80" t="n">
        <v>1</v>
      </c>
      <c r="B8" s="68" t="s">
        <v>91</v>
      </c>
      <c r="C8" s="68" t="s">
        <v>22</v>
      </c>
      <c r="D8" s="68" t="s">
        <v>133</v>
      </c>
      <c r="E8" s="68" t="str">
        <f aca="false">C8&amp;D8</f>
        <v>INSRRC3</v>
      </c>
      <c r="F8" s="82" t="n">
        <v>31.24</v>
      </c>
      <c r="G8" s="59"/>
      <c r="H8" s="59"/>
      <c r="I8" s="59"/>
      <c r="J8" s="59"/>
      <c r="K8" s="72"/>
      <c r="L8" s="59"/>
      <c r="M8" s="59"/>
      <c r="N8" s="72"/>
    </row>
    <row r="9" customFormat="false" ht="15.75" hidden="false" customHeight="false" outlineLevel="0" collapsed="false">
      <c r="A9" s="80" t="n">
        <v>1</v>
      </c>
      <c r="B9" s="68" t="s">
        <v>92</v>
      </c>
      <c r="C9" s="68" t="s">
        <v>22</v>
      </c>
      <c r="D9" s="68" t="s">
        <v>105</v>
      </c>
      <c r="E9" s="68" t="str">
        <f aca="false">C9&amp;D9</f>
        <v>INSRRC5</v>
      </c>
      <c r="F9" s="82" t="n">
        <v>31.824</v>
      </c>
      <c r="G9" s="59"/>
      <c r="H9" s="90" t="s">
        <v>130</v>
      </c>
      <c r="I9" s="70"/>
      <c r="J9" s="91" t="s">
        <v>149</v>
      </c>
      <c r="K9" s="92" t="s">
        <v>155</v>
      </c>
      <c r="L9" s="59"/>
      <c r="M9" s="59"/>
      <c r="N9" s="72"/>
    </row>
    <row r="10" customFormat="false" ht="15.75" hidden="false" customHeight="false" outlineLevel="0" collapsed="false">
      <c r="A10" s="80" t="n">
        <v>1</v>
      </c>
      <c r="B10" s="68" t="s">
        <v>93</v>
      </c>
      <c r="C10" s="68" t="s">
        <v>22</v>
      </c>
      <c r="D10" s="68" t="s">
        <v>106</v>
      </c>
      <c r="E10" s="68" t="str">
        <f aca="false">C10&amp;D10</f>
        <v>INSRRC6</v>
      </c>
      <c r="F10" s="82" t="n">
        <v>34.312</v>
      </c>
      <c r="G10" s="59"/>
      <c r="H10" s="73" t="s">
        <v>131</v>
      </c>
      <c r="I10" s="74" t="str">
        <f aca="false">$H$2&amp;$H10</f>
        <v>BCAS1C1</v>
      </c>
      <c r="J10" s="93" t="n">
        <f aca="false">VLOOKUP(I10, E:F,2,0)</f>
        <v>25.634</v>
      </c>
      <c r="K10" s="76" t="n">
        <f aca="false">10^(($N$5*J10)+$N$6)</f>
        <v>0.500271622720608</v>
      </c>
      <c r="L10" s="59"/>
      <c r="M10" s="59"/>
      <c r="N10" s="72"/>
    </row>
    <row r="11" customFormat="false" ht="15.75" hidden="false" customHeight="false" outlineLevel="0" collapsed="false">
      <c r="A11" s="80" t="n">
        <v>1</v>
      </c>
      <c r="B11" s="68" t="s">
        <v>94</v>
      </c>
      <c r="C11" s="68" t="s">
        <v>22</v>
      </c>
      <c r="D11" s="68" t="s">
        <v>134</v>
      </c>
      <c r="E11" s="68" t="str">
        <f aca="false">C11&amp;D11</f>
        <v>INSRRC7</v>
      </c>
      <c r="F11" s="82" t="n">
        <v>30.291</v>
      </c>
      <c r="G11" s="59"/>
      <c r="H11" s="80" t="s">
        <v>132</v>
      </c>
      <c r="I11" s="68" t="str">
        <f aca="false">$H$2&amp;$H11</f>
        <v>BCAS1C2</v>
      </c>
      <c r="J11" s="67" t="n">
        <f aca="false">VLOOKUP(I11, E:F,2,0)</f>
        <v>25.872</v>
      </c>
      <c r="K11" s="82" t="n">
        <f aca="false">10^(($N$5*J11)+$N$6)</f>
        <v>0.423808545842214</v>
      </c>
      <c r="L11" s="59"/>
      <c r="M11" s="59"/>
      <c r="N11" s="72"/>
    </row>
    <row r="12" customFormat="false" ht="15.75" hidden="false" customHeight="false" outlineLevel="0" collapsed="false">
      <c r="A12" s="80" t="n">
        <v>1</v>
      </c>
      <c r="B12" s="68" t="s">
        <v>95</v>
      </c>
      <c r="C12" s="68" t="s">
        <v>22</v>
      </c>
      <c r="D12" s="68" t="s">
        <v>135</v>
      </c>
      <c r="E12" s="68" t="str">
        <f aca="false">C12&amp;D12</f>
        <v>INSRRC10</v>
      </c>
      <c r="F12" s="82" t="n">
        <v>30.339</v>
      </c>
      <c r="G12" s="59"/>
      <c r="H12" s="80" t="s">
        <v>133</v>
      </c>
      <c r="I12" s="68" t="str">
        <f aca="false">$H$2&amp;$H12</f>
        <v>BCAS1C3</v>
      </c>
      <c r="J12" s="67" t="n">
        <f aca="false">VLOOKUP(I12, E:F,2,0)</f>
        <v>25.635</v>
      </c>
      <c r="K12" s="82" t="n">
        <f aca="false">10^(($N$5*J12)+$N$6)</f>
        <v>0.499923089787713</v>
      </c>
      <c r="L12" s="59"/>
      <c r="M12" s="59"/>
      <c r="N12" s="72"/>
    </row>
    <row r="13" customFormat="false" ht="15.75" hidden="false" customHeight="false" outlineLevel="0" collapsed="false">
      <c r="A13" s="80" t="n">
        <v>1</v>
      </c>
      <c r="B13" s="68" t="s">
        <v>96</v>
      </c>
      <c r="C13" s="68" t="s">
        <v>22</v>
      </c>
      <c r="D13" s="68" t="s">
        <v>136</v>
      </c>
      <c r="E13" s="68" t="str">
        <f aca="false">C13&amp;D13</f>
        <v>INSRRC11</v>
      </c>
      <c r="F13" s="82" t="n">
        <v>30.272</v>
      </c>
      <c r="G13" s="59"/>
      <c r="H13" s="80" t="s">
        <v>105</v>
      </c>
      <c r="I13" s="68" t="str">
        <f aca="false">$H$2&amp;$H13</f>
        <v>BCAS1C5</v>
      </c>
      <c r="J13" s="67" t="n">
        <f aca="false">VLOOKUP(I13, E:F,2,0)</f>
        <v>26.234</v>
      </c>
      <c r="K13" s="82" t="n">
        <f aca="false">10^(($N$5*J13)+$N$6)</f>
        <v>0.329307867463292</v>
      </c>
      <c r="L13" s="59"/>
      <c r="M13" s="59"/>
      <c r="N13" s="72"/>
    </row>
    <row r="14" customFormat="false" ht="15.75" hidden="false" customHeight="false" outlineLevel="0" collapsed="false">
      <c r="A14" s="80" t="n">
        <v>1</v>
      </c>
      <c r="B14" s="68" t="s">
        <v>97</v>
      </c>
      <c r="C14" s="68" t="s">
        <v>22</v>
      </c>
      <c r="D14" s="68" t="s">
        <v>137</v>
      </c>
      <c r="E14" s="68" t="str">
        <f aca="false">C14&amp;D14</f>
        <v>INSRRC12</v>
      </c>
      <c r="F14" s="82" t="n">
        <v>30.921</v>
      </c>
      <c r="G14" s="59"/>
      <c r="H14" s="80" t="s">
        <v>106</v>
      </c>
      <c r="I14" s="68" t="str">
        <f aca="false">$H$2&amp;$H14</f>
        <v>BCAS1C6</v>
      </c>
      <c r="J14" s="67" t="n">
        <f aca="false">VLOOKUP(I14, E:F,2,0)</f>
        <v>26.604</v>
      </c>
      <c r="K14" s="82" t="n">
        <f aca="false">10^(($N$5*J14)+$N$6)</f>
        <v>0.254456248385996</v>
      </c>
      <c r="L14" s="59"/>
      <c r="M14" s="59"/>
      <c r="N14" s="72"/>
    </row>
    <row r="15" customFormat="false" ht="15.75" hidden="false" customHeight="false" outlineLevel="0" collapsed="false">
      <c r="A15" s="80" t="n">
        <v>1</v>
      </c>
      <c r="B15" s="68" t="s">
        <v>98</v>
      </c>
      <c r="C15" s="68" t="s">
        <v>22</v>
      </c>
      <c r="D15" s="68" t="s">
        <v>138</v>
      </c>
      <c r="E15" s="68" t="str">
        <f aca="false">C15&amp;D15</f>
        <v>INSRRV1</v>
      </c>
      <c r="F15" s="82" t="n">
        <v>29.927</v>
      </c>
      <c r="G15" s="59"/>
      <c r="H15" s="80" t="s">
        <v>134</v>
      </c>
      <c r="I15" s="68" t="str">
        <f aca="false">$H$2&amp;$H15</f>
        <v>BCAS1C7</v>
      </c>
      <c r="J15" s="67" t="n">
        <f aca="false">VLOOKUP(I15, E:F,2,0)</f>
        <v>25.277</v>
      </c>
      <c r="K15" s="82" t="n">
        <f aca="false">10^(($N$5*J15)+$N$6)</f>
        <v>0.641593724347972</v>
      </c>
      <c r="L15" s="59"/>
      <c r="M15" s="59"/>
      <c r="N15" s="72"/>
    </row>
    <row r="16" customFormat="false" ht="15.75" hidden="false" customHeight="false" outlineLevel="0" collapsed="false">
      <c r="A16" s="80" t="n">
        <v>1</v>
      </c>
      <c r="B16" s="68" t="s">
        <v>99</v>
      </c>
      <c r="C16" s="68" t="s">
        <v>22</v>
      </c>
      <c r="D16" s="68" t="s">
        <v>139</v>
      </c>
      <c r="E16" s="68" t="str">
        <f aca="false">C16&amp;D16</f>
        <v>INSRRV2</v>
      </c>
      <c r="F16" s="82" t="n">
        <v>29.595</v>
      </c>
      <c r="G16" s="59"/>
      <c r="H16" s="80" t="s">
        <v>135</v>
      </c>
      <c r="I16" s="68" t="str">
        <f aca="false">$H$2&amp;$H16</f>
        <v>BCAS1C10</v>
      </c>
      <c r="J16" s="67" t="n">
        <f aca="false">VLOOKUP(I16, E:F,2,0)</f>
        <v>25.778</v>
      </c>
      <c r="K16" s="82" t="n">
        <f aca="false">10^(($N$5*J16)+$N$6)</f>
        <v>0.452502482164134</v>
      </c>
      <c r="L16" s="59"/>
      <c r="M16" s="59"/>
      <c r="N16" s="72"/>
    </row>
    <row r="17" customFormat="false" ht="15.75" hidden="false" customHeight="false" outlineLevel="0" collapsed="false">
      <c r="A17" s="80" t="n">
        <v>1</v>
      </c>
      <c r="B17" s="68" t="s">
        <v>100</v>
      </c>
      <c r="C17" s="68" t="s">
        <v>22</v>
      </c>
      <c r="D17" s="68" t="s">
        <v>140</v>
      </c>
      <c r="E17" s="68" t="str">
        <f aca="false">C17&amp;D17</f>
        <v>INSRRV3</v>
      </c>
      <c r="F17" s="82" t="n">
        <v>30.198</v>
      </c>
      <c r="G17" s="59"/>
      <c r="H17" s="80" t="s">
        <v>136</v>
      </c>
      <c r="I17" s="68" t="str">
        <f aca="false">$H$2&amp;$H17</f>
        <v>BCAS1C11</v>
      </c>
      <c r="J17" s="67" t="n">
        <f aca="false">VLOOKUP(I17, E:F,2,0)</f>
        <v>26.368</v>
      </c>
      <c r="K17" s="82" t="n">
        <f aca="false">10^(($N$5*J17)+$N$6)</f>
        <v>0.299946592772072</v>
      </c>
      <c r="L17" s="59"/>
      <c r="M17" s="59"/>
      <c r="N17" s="72"/>
    </row>
    <row r="18" customFormat="false" ht="15.75" hidden="false" customHeight="false" outlineLevel="0" collapsed="false">
      <c r="A18" s="80" t="n">
        <v>1</v>
      </c>
      <c r="B18" s="68" t="s">
        <v>101</v>
      </c>
      <c r="C18" s="68" t="s">
        <v>22</v>
      </c>
      <c r="D18" s="68" t="s">
        <v>141</v>
      </c>
      <c r="E18" s="68" t="str">
        <f aca="false">C18&amp;D18</f>
        <v>INSRRV4</v>
      </c>
      <c r="F18" s="82" t="n">
        <v>30.583</v>
      </c>
      <c r="G18" s="59"/>
      <c r="H18" s="80" t="s">
        <v>137</v>
      </c>
      <c r="I18" s="68" t="str">
        <f aca="false">$H$2&amp;$H18</f>
        <v>BCAS1C12</v>
      </c>
      <c r="J18" s="67" t="n">
        <f aca="false">VLOOKUP(I18, E:F,2,0)</f>
        <v>25.87</v>
      </c>
      <c r="K18" s="82" t="n">
        <f aca="false">10^(($N$5*J18)+$N$6)</f>
        <v>0.424399687674373</v>
      </c>
      <c r="L18" s="59"/>
      <c r="M18" s="59"/>
      <c r="N18" s="72"/>
    </row>
    <row r="19" customFormat="false" ht="15.75" hidden="false" customHeight="false" outlineLevel="0" collapsed="false">
      <c r="A19" s="80" t="n">
        <v>1</v>
      </c>
      <c r="B19" s="68" t="s">
        <v>102</v>
      </c>
      <c r="C19" s="68" t="s">
        <v>22</v>
      </c>
      <c r="D19" s="68" t="s">
        <v>142</v>
      </c>
      <c r="E19" s="68" t="str">
        <f aca="false">C19&amp;D19</f>
        <v>INSRRV5</v>
      </c>
      <c r="F19" s="82" t="n">
        <v>29.432</v>
      </c>
      <c r="G19" s="59"/>
      <c r="H19" s="80" t="s">
        <v>138</v>
      </c>
      <c r="I19" s="68" t="str">
        <f aca="false">$H$2&amp;$H19</f>
        <v>BCAS1V1</v>
      </c>
      <c r="J19" s="67" t="n">
        <f aca="false">VLOOKUP(I19, E:F,2,0)</f>
        <v>26.028</v>
      </c>
      <c r="K19" s="82" t="n">
        <f aca="false">10^(($N$5*J19)+$N$6)</f>
        <v>0.380148018911294</v>
      </c>
      <c r="L19" s="59"/>
      <c r="M19" s="59"/>
      <c r="N19" s="72"/>
    </row>
    <row r="20" customFormat="false" ht="15.75" hidden="false" customHeight="false" outlineLevel="0" collapsed="false">
      <c r="A20" s="80" t="n">
        <v>1</v>
      </c>
      <c r="B20" s="68" t="s">
        <v>103</v>
      </c>
      <c r="C20" s="68" t="s">
        <v>22</v>
      </c>
      <c r="D20" s="68" t="s">
        <v>143</v>
      </c>
      <c r="E20" s="68" t="str">
        <f aca="false">C20&amp;D20</f>
        <v>INSRRV7</v>
      </c>
      <c r="F20" s="82" t="n">
        <v>29.405</v>
      </c>
      <c r="G20" s="59"/>
      <c r="H20" s="80" t="s">
        <v>139</v>
      </c>
      <c r="I20" s="68" t="str">
        <f aca="false">$H$2&amp;$H20</f>
        <v>BCAS1V2</v>
      </c>
      <c r="J20" s="67" t="n">
        <f aca="false">VLOOKUP(I20, E:F,2,0)</f>
        <v>26.586</v>
      </c>
      <c r="K20" s="82" t="n">
        <f aca="false">10^(($N$5*J20)+$N$6)</f>
        <v>0.257668442698764</v>
      </c>
      <c r="L20" s="59"/>
      <c r="M20" s="59"/>
      <c r="N20" s="72"/>
    </row>
    <row r="21" customFormat="false" ht="15.75" hidden="false" customHeight="false" outlineLevel="0" collapsed="false">
      <c r="A21" s="80" t="n">
        <v>1</v>
      </c>
      <c r="B21" s="68" t="s">
        <v>104</v>
      </c>
      <c r="C21" s="68" t="s">
        <v>22</v>
      </c>
      <c r="D21" s="68" t="s">
        <v>144</v>
      </c>
      <c r="E21" s="68" t="str">
        <f aca="false">C21&amp;D21</f>
        <v>INSRRV8</v>
      </c>
      <c r="F21" s="82" t="n">
        <v>30.904</v>
      </c>
      <c r="G21" s="59"/>
      <c r="H21" s="80" t="s">
        <v>140</v>
      </c>
      <c r="I21" s="68" t="str">
        <f aca="false">$H$2&amp;$H21</f>
        <v>BCAS1V3</v>
      </c>
      <c r="J21" s="67" t="n">
        <f aca="false">VLOOKUP(I21, E:F,2,0)</f>
        <v>26.164</v>
      </c>
      <c r="K21" s="82" t="n">
        <f aca="false">10^(($N$5*J21)+$N$6)</f>
        <v>0.345771514457294</v>
      </c>
      <c r="L21" s="59"/>
      <c r="M21" s="59"/>
      <c r="N21" s="72"/>
    </row>
    <row r="22" customFormat="false" ht="15.75" hidden="false" customHeight="false" outlineLevel="0" collapsed="false">
      <c r="A22" s="80" t="n">
        <v>1</v>
      </c>
      <c r="B22" s="68" t="s">
        <v>105</v>
      </c>
      <c r="C22" s="68" t="s">
        <v>22</v>
      </c>
      <c r="D22" s="68" t="s">
        <v>145</v>
      </c>
      <c r="E22" s="68" t="str">
        <f aca="false">C22&amp;D22</f>
        <v>INSRRV10</v>
      </c>
      <c r="F22" s="82" t="n">
        <v>31.562</v>
      </c>
      <c r="G22" s="59"/>
      <c r="H22" s="80" t="s">
        <v>141</v>
      </c>
      <c r="I22" s="68" t="str">
        <f aca="false">$H$2&amp;$H22</f>
        <v>BCAS1V4</v>
      </c>
      <c r="J22" s="67" t="n">
        <f aca="false">VLOOKUP(I22, E:F,2,0)</f>
        <v>25.881</v>
      </c>
      <c r="K22" s="82" t="n">
        <f aca="false">10^(($N$5*J22)+$N$6)</f>
        <v>0.421158580569157</v>
      </c>
      <c r="L22" s="59"/>
      <c r="M22" s="59"/>
      <c r="N22" s="72"/>
    </row>
    <row r="23" customFormat="false" ht="15.75" hidden="false" customHeight="false" outlineLevel="0" collapsed="false">
      <c r="A23" s="80" t="n">
        <v>1</v>
      </c>
      <c r="B23" s="68" t="s">
        <v>106</v>
      </c>
      <c r="C23" s="68" t="s">
        <v>22</v>
      </c>
      <c r="D23" s="68" t="s">
        <v>146</v>
      </c>
      <c r="E23" s="68" t="str">
        <f aca="false">C23&amp;D23</f>
        <v>INSRRV12</v>
      </c>
      <c r="F23" s="82" t="n">
        <v>31.641</v>
      </c>
      <c r="G23" s="59"/>
      <c r="H23" s="80" t="s">
        <v>142</v>
      </c>
      <c r="I23" s="68" t="str">
        <f aca="false">$H$2&amp;$H23</f>
        <v>BCAS1V5</v>
      </c>
      <c r="J23" s="67" t="n">
        <f aca="false">VLOOKUP(I23, E:F,2,0)</f>
        <v>25.196</v>
      </c>
      <c r="K23" s="82" t="n">
        <f aca="false">10^(($N$5*J23)+$N$6)</f>
        <v>0.678854365587082</v>
      </c>
      <c r="L23" s="59"/>
      <c r="M23" s="59"/>
      <c r="N23" s="72"/>
    </row>
    <row r="24" customFormat="false" ht="15.75" hidden="false" customHeight="false" outlineLevel="0" collapsed="false">
      <c r="A24" s="80" t="n">
        <v>1</v>
      </c>
      <c r="B24" s="68" t="s">
        <v>107</v>
      </c>
      <c r="C24" s="68" t="s">
        <v>32</v>
      </c>
      <c r="D24" s="81" t="n">
        <v>1</v>
      </c>
      <c r="E24" s="68" t="str">
        <f aca="false">C24&amp;D24</f>
        <v>GAPDH1</v>
      </c>
      <c r="F24" s="82" t="n">
        <v>14.971</v>
      </c>
      <c r="G24" s="59"/>
      <c r="H24" s="80" t="s">
        <v>143</v>
      </c>
      <c r="I24" s="68" t="str">
        <f aca="false">$H$2&amp;$H24</f>
        <v>BCAS1V7</v>
      </c>
      <c r="J24" s="67" t="n">
        <f aca="false">VLOOKUP(I24, E:F,2,0)</f>
        <v>26.128</v>
      </c>
      <c r="K24" s="82" t="n">
        <f aca="false">10^(($N$5*J24)+$N$6)</f>
        <v>0.354556488777871</v>
      </c>
      <c r="L24" s="59"/>
      <c r="M24" s="59"/>
      <c r="N24" s="72"/>
    </row>
    <row r="25" customFormat="false" ht="15.75" hidden="false" customHeight="false" outlineLevel="0" collapsed="false">
      <c r="A25" s="80" t="n">
        <v>1</v>
      </c>
      <c r="B25" s="68" t="s">
        <v>108</v>
      </c>
      <c r="C25" s="68" t="s">
        <v>32</v>
      </c>
      <c r="D25" s="81" t="n">
        <v>0.1</v>
      </c>
      <c r="E25" s="68" t="str">
        <f aca="false">C25&amp;D25</f>
        <v>GAPDH0.1</v>
      </c>
      <c r="F25" s="82" t="n">
        <v>17.753</v>
      </c>
      <c r="G25" s="59"/>
      <c r="H25" s="80" t="s">
        <v>144</v>
      </c>
      <c r="I25" s="68" t="str">
        <f aca="false">$H$2&amp;$H25</f>
        <v>BCAS1V8</v>
      </c>
      <c r="J25" s="67" t="n">
        <f aca="false">VLOOKUP(I25, E:F,2,0)</f>
        <v>25.577</v>
      </c>
      <c r="K25" s="82" t="n">
        <f aca="false">10^(($N$5*J25)+$N$6)</f>
        <v>0.52054493634216</v>
      </c>
      <c r="L25" s="59"/>
      <c r="M25" s="59"/>
      <c r="N25" s="72"/>
    </row>
    <row r="26" customFormat="false" ht="15.75" hidden="false" customHeight="false" outlineLevel="0" collapsed="false">
      <c r="A26" s="80" t="n">
        <v>1</v>
      </c>
      <c r="B26" s="68" t="s">
        <v>109</v>
      </c>
      <c r="C26" s="68" t="s">
        <v>32</v>
      </c>
      <c r="D26" s="81" t="n">
        <v>0.01</v>
      </c>
      <c r="E26" s="68" t="str">
        <f aca="false">C26&amp;D26</f>
        <v>GAPDH0.01</v>
      </c>
      <c r="F26" s="82" t="n">
        <v>21.139</v>
      </c>
      <c r="G26" s="59"/>
      <c r="H26" s="80" t="s">
        <v>145</v>
      </c>
      <c r="I26" s="68" t="str">
        <f aca="false">$H$2&amp;$H26</f>
        <v>BCAS1V10</v>
      </c>
      <c r="J26" s="67" t="n">
        <f aca="false">VLOOKUP(I26, E:F,2,0)</f>
        <v>25.796</v>
      </c>
      <c r="K26" s="82" t="n">
        <f aca="false">10^(($N$5*J26)+$N$6)</f>
        <v>0.446861411474617</v>
      </c>
      <c r="L26" s="59"/>
      <c r="M26" s="59"/>
      <c r="N26" s="72"/>
    </row>
    <row r="27" customFormat="false" ht="15.75" hidden="false" customHeight="false" outlineLevel="0" collapsed="false">
      <c r="A27" s="80" t="n">
        <v>1</v>
      </c>
      <c r="B27" s="68" t="s">
        <v>110</v>
      </c>
      <c r="C27" s="68" t="s">
        <v>32</v>
      </c>
      <c r="D27" s="84" t="n">
        <v>0.001</v>
      </c>
      <c r="E27" s="68" t="str">
        <f aca="false">C27&amp;D27</f>
        <v>GAPDH0.001</v>
      </c>
      <c r="F27" s="82" t="n">
        <v>24.767</v>
      </c>
      <c r="G27" s="59"/>
      <c r="H27" s="89" t="s">
        <v>146</v>
      </c>
      <c r="I27" s="86" t="str">
        <f aca="false">$H$2&amp;$H27</f>
        <v>BCAS1V12</v>
      </c>
      <c r="J27" s="87" t="n">
        <f aca="false">VLOOKUP(I27, E:F,2,0)</f>
        <v>26.153</v>
      </c>
      <c r="K27" s="88" t="n">
        <f aca="false">10^(($N$5*J27)+$N$6)</f>
        <v>0.348432465851838</v>
      </c>
      <c r="L27" s="59"/>
      <c r="M27" s="59"/>
      <c r="N27" s="72"/>
    </row>
    <row r="28" customFormat="false" ht="15.75" hidden="false" customHeight="false" outlineLevel="0" collapsed="false">
      <c r="A28" s="80" t="n">
        <v>1</v>
      </c>
      <c r="B28" s="68" t="s">
        <v>111</v>
      </c>
      <c r="C28" s="68" t="s">
        <v>32</v>
      </c>
      <c r="D28" s="68" t="s">
        <v>131</v>
      </c>
      <c r="E28" s="68" t="str">
        <f aca="false">C28&amp;D28</f>
        <v>GAPDHC1</v>
      </c>
      <c r="F28" s="82" t="n">
        <v>14.676</v>
      </c>
      <c r="G28" s="59"/>
      <c r="H28" s="59"/>
      <c r="I28" s="59"/>
      <c r="J28" s="59"/>
      <c r="K28" s="72"/>
      <c r="L28" s="59"/>
      <c r="M28" s="59"/>
      <c r="N28" s="72"/>
    </row>
    <row r="29" customFormat="false" ht="15.75" hidden="false" customHeight="false" outlineLevel="0" collapsed="false">
      <c r="A29" s="80" t="n">
        <v>1</v>
      </c>
      <c r="B29" s="68" t="s">
        <v>112</v>
      </c>
      <c r="C29" s="68" t="s">
        <v>32</v>
      </c>
      <c r="D29" s="68" t="s">
        <v>132</v>
      </c>
      <c r="E29" s="68" t="str">
        <f aca="false">C29&amp;D29</f>
        <v>GAPDHC2</v>
      </c>
      <c r="F29" s="82" t="n">
        <v>14.882</v>
      </c>
      <c r="G29" s="59"/>
      <c r="H29" s="59"/>
      <c r="I29" s="59"/>
      <c r="J29" s="59"/>
      <c r="K29" s="72"/>
      <c r="L29" s="59"/>
      <c r="M29" s="59"/>
      <c r="N29" s="72"/>
    </row>
    <row r="30" customFormat="false" ht="15.75" hidden="false" customHeight="false" outlineLevel="0" collapsed="false">
      <c r="A30" s="80" t="n">
        <v>1</v>
      </c>
      <c r="B30" s="68" t="s">
        <v>113</v>
      </c>
      <c r="C30" s="68" t="s">
        <v>32</v>
      </c>
      <c r="D30" s="68" t="s">
        <v>133</v>
      </c>
      <c r="E30" s="68" t="str">
        <f aca="false">C30&amp;D30</f>
        <v>GAPDHC3</v>
      </c>
      <c r="F30" s="82" t="n">
        <v>15.27</v>
      </c>
      <c r="G30" s="59"/>
      <c r="H30" s="59"/>
      <c r="I30" s="59"/>
      <c r="J30" s="59"/>
      <c r="K30" s="72"/>
      <c r="L30" s="59"/>
      <c r="M30" s="59"/>
      <c r="N30" s="72"/>
    </row>
    <row r="31" customFormat="false" ht="15.75" hidden="false" customHeight="false" outlineLevel="0" collapsed="false">
      <c r="A31" s="80" t="n">
        <v>1</v>
      </c>
      <c r="B31" s="68" t="s">
        <v>114</v>
      </c>
      <c r="C31" s="68" t="s">
        <v>32</v>
      </c>
      <c r="D31" s="68" t="s">
        <v>105</v>
      </c>
      <c r="E31" s="68" t="str">
        <f aca="false">C31&amp;D31</f>
        <v>GAPDHC5</v>
      </c>
      <c r="F31" s="82" t="n">
        <v>16.283</v>
      </c>
      <c r="G31" s="59"/>
      <c r="I31" s="59"/>
      <c r="J31" s="59"/>
      <c r="K31" s="72"/>
      <c r="L31" s="59"/>
      <c r="M31" s="59"/>
      <c r="N31" s="72"/>
    </row>
    <row r="32" customFormat="false" ht="15.75" hidden="false" customHeight="false" outlineLevel="0" collapsed="false">
      <c r="A32" s="80" t="n">
        <v>1</v>
      </c>
      <c r="B32" s="68" t="s">
        <v>115</v>
      </c>
      <c r="C32" s="68" t="s">
        <v>32</v>
      </c>
      <c r="D32" s="68" t="s">
        <v>106</v>
      </c>
      <c r="E32" s="68" t="str">
        <f aca="false">C32&amp;D32</f>
        <v>GAPDHC6</v>
      </c>
      <c r="F32" s="82" t="n">
        <v>17.638</v>
      </c>
      <c r="G32" s="59"/>
      <c r="H32" s="59"/>
      <c r="I32" s="59"/>
      <c r="J32" s="59"/>
      <c r="K32" s="72"/>
      <c r="L32" s="59"/>
      <c r="M32" s="59"/>
      <c r="N32" s="72"/>
    </row>
    <row r="33" customFormat="false" ht="15.75" hidden="false" customHeight="false" outlineLevel="0" collapsed="false">
      <c r="A33" s="80" t="n">
        <v>1</v>
      </c>
      <c r="B33" s="68" t="s">
        <v>116</v>
      </c>
      <c r="C33" s="68" t="s">
        <v>32</v>
      </c>
      <c r="D33" s="68" t="s">
        <v>134</v>
      </c>
      <c r="E33" s="68" t="str">
        <f aca="false">C33&amp;D33</f>
        <v>GAPDHC7</v>
      </c>
      <c r="F33" s="82" t="n">
        <v>15.266</v>
      </c>
      <c r="G33" s="59"/>
      <c r="H33" s="59"/>
      <c r="I33" s="59"/>
      <c r="J33" s="59"/>
      <c r="K33" s="72"/>
      <c r="L33" s="59"/>
      <c r="M33" s="59"/>
      <c r="N33" s="72"/>
    </row>
    <row r="34" customFormat="false" ht="15.75" hidden="false" customHeight="false" outlineLevel="0" collapsed="false">
      <c r="A34" s="80" t="n">
        <v>1</v>
      </c>
      <c r="B34" s="68" t="s">
        <v>117</v>
      </c>
      <c r="C34" s="68" t="s">
        <v>32</v>
      </c>
      <c r="D34" s="68" t="s">
        <v>135</v>
      </c>
      <c r="E34" s="68" t="str">
        <f aca="false">C34&amp;D34</f>
        <v>GAPDHC10</v>
      </c>
      <c r="F34" s="82" t="n">
        <v>15.648</v>
      </c>
      <c r="G34" s="59"/>
      <c r="H34" s="59"/>
      <c r="I34" s="59"/>
      <c r="J34" s="59"/>
      <c r="K34" s="72"/>
      <c r="L34" s="59"/>
      <c r="M34" s="59"/>
      <c r="N34" s="72"/>
    </row>
    <row r="35" customFormat="false" ht="15.75" hidden="false" customHeight="false" outlineLevel="0" collapsed="false">
      <c r="A35" s="80" t="n">
        <v>1</v>
      </c>
      <c r="B35" s="68" t="s">
        <v>118</v>
      </c>
      <c r="C35" s="68" t="s">
        <v>32</v>
      </c>
      <c r="D35" s="68" t="s">
        <v>136</v>
      </c>
      <c r="E35" s="68" t="str">
        <f aca="false">C35&amp;D35</f>
        <v>GAPDHC11</v>
      </c>
      <c r="F35" s="82" t="n">
        <v>15.767</v>
      </c>
      <c r="G35" s="59"/>
      <c r="H35" s="59"/>
      <c r="I35" s="59"/>
      <c r="J35" s="59"/>
      <c r="K35" s="72"/>
      <c r="L35" s="59"/>
      <c r="M35" s="59"/>
      <c r="N35" s="72"/>
    </row>
    <row r="36" customFormat="false" ht="15.75" hidden="false" customHeight="false" outlineLevel="0" collapsed="false">
      <c r="A36" s="80" t="n">
        <v>1</v>
      </c>
      <c r="B36" s="68" t="s">
        <v>119</v>
      </c>
      <c r="C36" s="68" t="s">
        <v>32</v>
      </c>
      <c r="D36" s="68" t="s">
        <v>137</v>
      </c>
      <c r="E36" s="68" t="str">
        <f aca="false">C36&amp;D36</f>
        <v>GAPDHC12</v>
      </c>
      <c r="F36" s="82" t="n">
        <v>15.655</v>
      </c>
      <c r="G36" s="59"/>
      <c r="H36" s="59"/>
      <c r="I36" s="59"/>
      <c r="J36" s="59"/>
      <c r="K36" s="72"/>
      <c r="L36" s="59"/>
      <c r="M36" s="59"/>
      <c r="N36" s="72"/>
    </row>
    <row r="37" customFormat="false" ht="15.75" hidden="false" customHeight="false" outlineLevel="0" collapsed="false">
      <c r="A37" s="80" t="n">
        <v>1</v>
      </c>
      <c r="B37" s="68" t="s">
        <v>120</v>
      </c>
      <c r="C37" s="68" t="s">
        <v>32</v>
      </c>
      <c r="D37" s="68" t="s">
        <v>138</v>
      </c>
      <c r="E37" s="68" t="str">
        <f aca="false">C37&amp;D37</f>
        <v>GAPDHV1</v>
      </c>
      <c r="F37" s="82" t="n">
        <v>15.853</v>
      </c>
      <c r="G37" s="59"/>
      <c r="H37" s="59"/>
      <c r="I37" s="59"/>
      <c r="J37" s="59"/>
      <c r="K37" s="72"/>
      <c r="L37" s="59"/>
      <c r="M37" s="59"/>
      <c r="N37" s="72"/>
    </row>
    <row r="38" customFormat="false" ht="15.75" hidden="false" customHeight="false" outlineLevel="0" collapsed="false">
      <c r="A38" s="80" t="n">
        <v>1</v>
      </c>
      <c r="B38" s="68" t="s">
        <v>121</v>
      </c>
      <c r="C38" s="68" t="s">
        <v>32</v>
      </c>
      <c r="D38" s="68" t="s">
        <v>139</v>
      </c>
      <c r="E38" s="68" t="str">
        <f aca="false">C38&amp;D38</f>
        <v>GAPDHV2</v>
      </c>
      <c r="F38" s="82" t="n">
        <v>15.43</v>
      </c>
      <c r="G38" s="59"/>
      <c r="H38" s="59"/>
      <c r="I38" s="59"/>
      <c r="J38" s="59"/>
      <c r="K38" s="72"/>
      <c r="L38" s="59"/>
      <c r="M38" s="59"/>
      <c r="N38" s="72"/>
    </row>
    <row r="39" customFormat="false" ht="15.75" hidden="false" customHeight="false" outlineLevel="0" collapsed="false">
      <c r="A39" s="80" t="n">
        <v>1</v>
      </c>
      <c r="B39" s="68" t="s">
        <v>122</v>
      </c>
      <c r="C39" s="68" t="s">
        <v>32</v>
      </c>
      <c r="D39" s="68" t="s">
        <v>140</v>
      </c>
      <c r="E39" s="68" t="str">
        <f aca="false">C39&amp;D39</f>
        <v>GAPDHV3</v>
      </c>
      <c r="F39" s="82" t="n">
        <v>15.741</v>
      </c>
      <c r="G39" s="59"/>
      <c r="H39" s="59"/>
      <c r="I39" s="59"/>
      <c r="J39" s="59"/>
      <c r="K39" s="72"/>
      <c r="L39" s="59"/>
      <c r="M39" s="59"/>
      <c r="N39" s="72"/>
    </row>
    <row r="40" customFormat="false" ht="15.75" hidden="false" customHeight="false" outlineLevel="0" collapsed="false">
      <c r="A40" s="80" t="n">
        <v>1</v>
      </c>
      <c r="B40" s="68" t="s">
        <v>123</v>
      </c>
      <c r="C40" s="68" t="s">
        <v>32</v>
      </c>
      <c r="D40" s="68" t="s">
        <v>141</v>
      </c>
      <c r="E40" s="68" t="str">
        <f aca="false">C40&amp;D40</f>
        <v>GAPDHV4</v>
      </c>
      <c r="F40" s="82" t="n">
        <v>15.491</v>
      </c>
      <c r="G40" s="59"/>
      <c r="H40" s="59"/>
      <c r="I40" s="59"/>
      <c r="J40" s="59"/>
      <c r="K40" s="72"/>
      <c r="L40" s="59"/>
      <c r="M40" s="59"/>
      <c r="N40" s="72"/>
    </row>
    <row r="41" customFormat="false" ht="15.75" hidden="false" customHeight="false" outlineLevel="0" collapsed="false">
      <c r="A41" s="80" t="n">
        <v>1</v>
      </c>
      <c r="B41" s="68" t="s">
        <v>124</v>
      </c>
      <c r="C41" s="68" t="s">
        <v>32</v>
      </c>
      <c r="D41" s="68" t="s">
        <v>142</v>
      </c>
      <c r="E41" s="68" t="str">
        <f aca="false">C41&amp;D41</f>
        <v>GAPDHV5</v>
      </c>
      <c r="F41" s="82" t="n">
        <v>14.508</v>
      </c>
      <c r="G41" s="59"/>
      <c r="H41" s="59"/>
      <c r="I41" s="59"/>
      <c r="J41" s="59"/>
      <c r="K41" s="72"/>
      <c r="L41" s="59"/>
      <c r="M41" s="59"/>
      <c r="N41" s="72"/>
    </row>
    <row r="42" customFormat="false" ht="15.75" hidden="false" customHeight="false" outlineLevel="0" collapsed="false">
      <c r="A42" s="80" t="n">
        <v>1</v>
      </c>
      <c r="B42" s="68" t="s">
        <v>125</v>
      </c>
      <c r="C42" s="68" t="s">
        <v>32</v>
      </c>
      <c r="D42" s="68" t="s">
        <v>143</v>
      </c>
      <c r="E42" s="68" t="str">
        <f aca="false">C42&amp;D42</f>
        <v>GAPDHV7</v>
      </c>
      <c r="F42" s="82" t="n">
        <v>15.261</v>
      </c>
      <c r="G42" s="59"/>
      <c r="H42" s="59"/>
      <c r="I42" s="59"/>
      <c r="J42" s="59"/>
      <c r="K42" s="72"/>
      <c r="L42" s="59"/>
      <c r="M42" s="59"/>
      <c r="N42" s="72"/>
    </row>
    <row r="43" customFormat="false" ht="15.75" hidden="false" customHeight="false" outlineLevel="0" collapsed="false">
      <c r="A43" s="80" t="n">
        <v>1</v>
      </c>
      <c r="B43" s="68" t="s">
        <v>126</v>
      </c>
      <c r="C43" s="68" t="s">
        <v>32</v>
      </c>
      <c r="D43" s="68" t="s">
        <v>144</v>
      </c>
      <c r="E43" s="68" t="str">
        <f aca="false">C43&amp;D43</f>
        <v>GAPDHV8</v>
      </c>
      <c r="F43" s="82" t="n">
        <v>15.571</v>
      </c>
      <c r="G43" s="59"/>
      <c r="H43" s="59"/>
      <c r="I43" s="59"/>
      <c r="J43" s="59"/>
      <c r="K43" s="72"/>
      <c r="L43" s="59"/>
      <c r="M43" s="59"/>
      <c r="N43" s="72"/>
    </row>
    <row r="44" customFormat="false" ht="15.75" hidden="false" customHeight="false" outlineLevel="0" collapsed="false">
      <c r="A44" s="80" t="n">
        <v>1</v>
      </c>
      <c r="B44" s="68" t="s">
        <v>127</v>
      </c>
      <c r="C44" s="68" t="s">
        <v>32</v>
      </c>
      <c r="D44" s="68" t="s">
        <v>145</v>
      </c>
      <c r="E44" s="68" t="str">
        <f aca="false">C44&amp;D44</f>
        <v>GAPDHV10</v>
      </c>
      <c r="F44" s="82" t="n">
        <v>16.341</v>
      </c>
      <c r="G44" s="59"/>
      <c r="H44" s="59"/>
      <c r="I44" s="59"/>
      <c r="J44" s="59"/>
      <c r="K44" s="72"/>
      <c r="L44" s="59"/>
      <c r="M44" s="59"/>
      <c r="N44" s="72"/>
    </row>
    <row r="45" customFormat="false" ht="15.75" hidden="false" customHeight="false" outlineLevel="0" collapsed="false">
      <c r="A45" s="80" t="n">
        <v>1</v>
      </c>
      <c r="B45" s="68" t="s">
        <v>128</v>
      </c>
      <c r="C45" s="68" t="s">
        <v>32</v>
      </c>
      <c r="D45" s="68" t="s">
        <v>146</v>
      </c>
      <c r="E45" s="68" t="str">
        <f aca="false">C45&amp;D45</f>
        <v>GAPDHV12</v>
      </c>
      <c r="F45" s="82" t="n">
        <v>16.238</v>
      </c>
      <c r="G45" s="59"/>
      <c r="H45" s="59"/>
      <c r="I45" s="59"/>
      <c r="J45" s="59"/>
      <c r="K45" s="72"/>
      <c r="L45" s="59"/>
      <c r="M45" s="59"/>
      <c r="N45" s="72"/>
    </row>
    <row r="46" customFormat="false" ht="15.75" hidden="false" customHeight="false" outlineLevel="0" collapsed="false">
      <c r="A46" s="80" t="n">
        <v>2</v>
      </c>
      <c r="B46" s="68" t="s">
        <v>80</v>
      </c>
      <c r="C46" s="68" t="s">
        <v>33</v>
      </c>
      <c r="D46" s="81" t="n">
        <v>1</v>
      </c>
      <c r="E46" s="68" t="str">
        <f aca="false">C46&amp;D46</f>
        <v>IGF21</v>
      </c>
      <c r="F46" s="82" t="n">
        <v>22.055</v>
      </c>
      <c r="G46" s="59"/>
      <c r="H46" s="59"/>
      <c r="I46" s="59"/>
      <c r="J46" s="59"/>
      <c r="K46" s="72"/>
      <c r="L46" s="59"/>
      <c r="M46" s="59"/>
      <c r="N46" s="72"/>
    </row>
    <row r="47" customFormat="false" ht="15.75" hidden="false" customHeight="false" outlineLevel="0" collapsed="false">
      <c r="A47" s="80" t="n">
        <v>2</v>
      </c>
      <c r="B47" s="68" t="s">
        <v>85</v>
      </c>
      <c r="C47" s="68" t="s">
        <v>33</v>
      </c>
      <c r="D47" s="81" t="n">
        <v>0.1</v>
      </c>
      <c r="E47" s="68" t="str">
        <f aca="false">C47&amp;D47</f>
        <v>IGF20.1</v>
      </c>
      <c r="F47" s="82" t="n">
        <v>25.117</v>
      </c>
      <c r="G47" s="59"/>
      <c r="H47" s="59"/>
      <c r="I47" s="59"/>
      <c r="J47" s="59"/>
      <c r="K47" s="72"/>
      <c r="L47" s="59"/>
      <c r="M47" s="59"/>
      <c r="N47" s="72"/>
    </row>
    <row r="48" customFormat="false" ht="15.75" hidden="false" customHeight="false" outlineLevel="0" collapsed="false">
      <c r="A48" s="80" t="n">
        <v>2</v>
      </c>
      <c r="B48" s="68" t="s">
        <v>86</v>
      </c>
      <c r="C48" s="68" t="s">
        <v>33</v>
      </c>
      <c r="D48" s="81" t="n">
        <v>0.01</v>
      </c>
      <c r="E48" s="68" t="str">
        <f aca="false">C48&amp;D48</f>
        <v>IGF20.01</v>
      </c>
      <c r="F48" s="82" t="n">
        <v>28.621</v>
      </c>
      <c r="G48" s="59"/>
      <c r="H48" s="59"/>
      <c r="I48" s="59"/>
      <c r="J48" s="59"/>
      <c r="K48" s="72"/>
      <c r="L48" s="59"/>
      <c r="M48" s="59"/>
      <c r="N48" s="72"/>
    </row>
    <row r="49" customFormat="false" ht="15.75" hidden="false" customHeight="false" outlineLevel="0" collapsed="false">
      <c r="A49" s="80" t="n">
        <v>2</v>
      </c>
      <c r="B49" s="68" t="s">
        <v>87</v>
      </c>
      <c r="C49" s="68" t="s">
        <v>33</v>
      </c>
      <c r="D49" s="84" t="n">
        <v>0.001</v>
      </c>
      <c r="E49" s="68" t="str">
        <f aca="false">C49&amp;D49</f>
        <v>IGF20.001</v>
      </c>
      <c r="F49" s="82" t="n">
        <v>32.079</v>
      </c>
      <c r="G49" s="59"/>
      <c r="H49" s="59"/>
      <c r="I49" s="59"/>
      <c r="J49" s="59"/>
      <c r="K49" s="72"/>
      <c r="L49" s="59"/>
      <c r="M49" s="59"/>
      <c r="N49" s="72"/>
    </row>
    <row r="50" customFormat="false" ht="15.75" hidden="false" customHeight="false" outlineLevel="0" collapsed="false">
      <c r="A50" s="80" t="n">
        <v>2</v>
      </c>
      <c r="B50" s="68" t="s">
        <v>89</v>
      </c>
      <c r="C50" s="68" t="s">
        <v>33</v>
      </c>
      <c r="D50" s="68" t="s">
        <v>131</v>
      </c>
      <c r="E50" s="68" t="str">
        <f aca="false">C50&amp;D50</f>
        <v>IGF2C1</v>
      </c>
      <c r="F50" s="82" t="n">
        <v>22.983</v>
      </c>
      <c r="G50" s="59"/>
      <c r="H50" s="59"/>
      <c r="I50" s="59"/>
      <c r="J50" s="59"/>
      <c r="K50" s="72"/>
      <c r="L50" s="59"/>
      <c r="M50" s="59"/>
      <c r="N50" s="72"/>
    </row>
    <row r="51" customFormat="false" ht="15.75" hidden="false" customHeight="false" outlineLevel="0" collapsed="false">
      <c r="A51" s="80" t="n">
        <v>2</v>
      </c>
      <c r="B51" s="68" t="s">
        <v>90</v>
      </c>
      <c r="C51" s="68" t="s">
        <v>33</v>
      </c>
      <c r="D51" s="68" t="s">
        <v>132</v>
      </c>
      <c r="E51" s="68" t="str">
        <f aca="false">C51&amp;D51</f>
        <v>IGF2C2</v>
      </c>
      <c r="F51" s="82" t="n">
        <v>22.133</v>
      </c>
      <c r="G51" s="59"/>
      <c r="H51" s="59"/>
      <c r="I51" s="59"/>
      <c r="J51" s="59"/>
      <c r="K51" s="72"/>
      <c r="L51" s="59"/>
      <c r="M51" s="59"/>
      <c r="N51" s="72"/>
    </row>
    <row r="52" customFormat="false" ht="15.75" hidden="false" customHeight="false" outlineLevel="0" collapsed="false">
      <c r="A52" s="80" t="n">
        <v>2</v>
      </c>
      <c r="B52" s="68" t="s">
        <v>91</v>
      </c>
      <c r="C52" s="68" t="s">
        <v>33</v>
      </c>
      <c r="D52" s="68" t="s">
        <v>133</v>
      </c>
      <c r="E52" s="68" t="str">
        <f aca="false">C52&amp;D52</f>
        <v>IGF2C3</v>
      </c>
      <c r="F52" s="82" t="n">
        <v>22.973</v>
      </c>
      <c r="G52" s="59"/>
      <c r="H52" s="59"/>
      <c r="I52" s="59"/>
      <c r="J52" s="59"/>
      <c r="K52" s="72"/>
      <c r="L52" s="59"/>
      <c r="M52" s="59"/>
      <c r="N52" s="72"/>
    </row>
    <row r="53" customFormat="false" ht="15.75" hidden="false" customHeight="false" outlineLevel="0" collapsed="false">
      <c r="A53" s="80" t="n">
        <v>2</v>
      </c>
      <c r="B53" s="68" t="s">
        <v>92</v>
      </c>
      <c r="C53" s="68" t="s">
        <v>33</v>
      </c>
      <c r="D53" s="68" t="s">
        <v>105</v>
      </c>
      <c r="E53" s="68" t="str">
        <f aca="false">C53&amp;D53</f>
        <v>IGF2C5</v>
      </c>
      <c r="F53" s="82" t="n">
        <v>24.187</v>
      </c>
      <c r="G53" s="59"/>
      <c r="H53" s="59"/>
      <c r="I53" s="59"/>
      <c r="J53" s="59"/>
      <c r="K53" s="72"/>
      <c r="L53" s="59"/>
      <c r="M53" s="59"/>
      <c r="N53" s="72"/>
    </row>
    <row r="54" customFormat="false" ht="15.75" hidden="false" customHeight="false" outlineLevel="0" collapsed="false">
      <c r="A54" s="80" t="n">
        <v>2</v>
      </c>
      <c r="B54" s="68" t="s">
        <v>93</v>
      </c>
      <c r="C54" s="68" t="s">
        <v>33</v>
      </c>
      <c r="D54" s="68" t="s">
        <v>106</v>
      </c>
      <c r="E54" s="68" t="str">
        <f aca="false">C54&amp;D54</f>
        <v>IGF2C6</v>
      </c>
      <c r="F54" s="82" t="n">
        <v>26.295</v>
      </c>
      <c r="G54" s="59"/>
      <c r="H54" s="59"/>
      <c r="I54" s="59"/>
      <c r="J54" s="59"/>
      <c r="K54" s="72"/>
      <c r="L54" s="59"/>
      <c r="M54" s="59"/>
      <c r="N54" s="72"/>
    </row>
    <row r="55" customFormat="false" ht="15.75" hidden="false" customHeight="false" outlineLevel="0" collapsed="false">
      <c r="A55" s="80" t="n">
        <v>2</v>
      </c>
      <c r="B55" s="68" t="s">
        <v>94</v>
      </c>
      <c r="C55" s="68" t="s">
        <v>33</v>
      </c>
      <c r="D55" s="68" t="s">
        <v>134</v>
      </c>
      <c r="E55" s="68" t="str">
        <f aca="false">C55&amp;D55</f>
        <v>IGF2C7</v>
      </c>
      <c r="F55" s="82" t="n">
        <v>23.092</v>
      </c>
      <c r="G55" s="59"/>
      <c r="H55" s="59"/>
      <c r="I55" s="59"/>
      <c r="J55" s="59"/>
      <c r="K55" s="72"/>
      <c r="L55" s="59"/>
      <c r="M55" s="59"/>
      <c r="N55" s="72"/>
    </row>
    <row r="56" customFormat="false" ht="15.75" hidden="false" customHeight="false" outlineLevel="0" collapsed="false">
      <c r="A56" s="80" t="n">
        <v>2</v>
      </c>
      <c r="B56" s="68" t="s">
        <v>95</v>
      </c>
      <c r="C56" s="68" t="s">
        <v>33</v>
      </c>
      <c r="D56" s="68" t="s">
        <v>135</v>
      </c>
      <c r="E56" s="68" t="str">
        <f aca="false">C56&amp;D56</f>
        <v>IGF2C10</v>
      </c>
      <c r="F56" s="82" t="n">
        <v>23.017</v>
      </c>
      <c r="G56" s="59"/>
      <c r="H56" s="59"/>
      <c r="I56" s="59"/>
      <c r="J56" s="59"/>
      <c r="K56" s="72"/>
      <c r="L56" s="59"/>
      <c r="M56" s="59"/>
      <c r="N56" s="72"/>
    </row>
    <row r="57" customFormat="false" ht="15.75" hidden="false" customHeight="false" outlineLevel="0" collapsed="false">
      <c r="A57" s="80" t="n">
        <v>2</v>
      </c>
      <c r="B57" s="68" t="s">
        <v>96</v>
      </c>
      <c r="C57" s="68" t="s">
        <v>33</v>
      </c>
      <c r="D57" s="68" t="s">
        <v>136</v>
      </c>
      <c r="E57" s="68" t="str">
        <f aca="false">C57&amp;D57</f>
        <v>IGF2C11</v>
      </c>
      <c r="F57" s="82" t="n">
        <v>23.204</v>
      </c>
      <c r="G57" s="59"/>
      <c r="H57" s="59"/>
      <c r="I57" s="59"/>
      <c r="J57" s="59"/>
      <c r="K57" s="72"/>
      <c r="L57" s="59"/>
      <c r="M57" s="59"/>
      <c r="N57" s="72"/>
    </row>
    <row r="58" customFormat="false" ht="15.75" hidden="false" customHeight="false" outlineLevel="0" collapsed="false">
      <c r="A58" s="80" t="n">
        <v>2</v>
      </c>
      <c r="B58" s="68" t="s">
        <v>97</v>
      </c>
      <c r="C58" s="68" t="s">
        <v>33</v>
      </c>
      <c r="D58" s="68" t="s">
        <v>137</v>
      </c>
      <c r="E58" s="68" t="str">
        <f aca="false">C58&amp;D58</f>
        <v>IGF2C12</v>
      </c>
      <c r="F58" s="82" t="n">
        <v>23.265</v>
      </c>
      <c r="G58" s="59"/>
      <c r="H58" s="59"/>
      <c r="I58" s="59"/>
      <c r="J58" s="59"/>
      <c r="K58" s="72"/>
      <c r="L58" s="59"/>
      <c r="M58" s="59"/>
      <c r="N58" s="72"/>
    </row>
    <row r="59" customFormat="false" ht="15.75" hidden="false" customHeight="false" outlineLevel="0" collapsed="false">
      <c r="A59" s="80" t="n">
        <v>2</v>
      </c>
      <c r="B59" s="68" t="s">
        <v>98</v>
      </c>
      <c r="C59" s="68" t="s">
        <v>33</v>
      </c>
      <c r="D59" s="68" t="s">
        <v>138</v>
      </c>
      <c r="E59" s="68" t="str">
        <f aca="false">C59&amp;D59</f>
        <v>IGF2V1</v>
      </c>
      <c r="F59" s="82" t="n">
        <v>22.583</v>
      </c>
      <c r="G59" s="59"/>
      <c r="H59" s="59"/>
      <c r="I59" s="59"/>
      <c r="J59" s="59"/>
      <c r="K59" s="72"/>
      <c r="L59" s="59"/>
      <c r="M59" s="59"/>
      <c r="N59" s="72"/>
    </row>
    <row r="60" customFormat="false" ht="15.75" hidden="false" customHeight="false" outlineLevel="0" collapsed="false">
      <c r="A60" s="80" t="n">
        <v>2</v>
      </c>
      <c r="B60" s="68" t="s">
        <v>99</v>
      </c>
      <c r="C60" s="68" t="s">
        <v>33</v>
      </c>
      <c r="D60" s="68" t="s">
        <v>139</v>
      </c>
      <c r="E60" s="68" t="str">
        <f aca="false">C60&amp;D60</f>
        <v>IGF2V2</v>
      </c>
      <c r="F60" s="82" t="n">
        <v>22.63</v>
      </c>
      <c r="G60" s="59"/>
      <c r="H60" s="59"/>
      <c r="I60" s="59"/>
      <c r="J60" s="59"/>
      <c r="K60" s="72"/>
      <c r="L60" s="59"/>
      <c r="M60" s="59"/>
      <c r="N60" s="72"/>
    </row>
    <row r="61" customFormat="false" ht="15.75" hidden="false" customHeight="false" outlineLevel="0" collapsed="false">
      <c r="A61" s="80" t="n">
        <v>2</v>
      </c>
      <c r="B61" s="68" t="s">
        <v>100</v>
      </c>
      <c r="C61" s="68" t="s">
        <v>33</v>
      </c>
      <c r="D61" s="68" t="s">
        <v>140</v>
      </c>
      <c r="E61" s="68" t="str">
        <f aca="false">C61&amp;D61</f>
        <v>IGF2V3</v>
      </c>
      <c r="F61" s="82" t="n">
        <v>22.573</v>
      </c>
      <c r="G61" s="59"/>
      <c r="H61" s="59"/>
      <c r="I61" s="59"/>
      <c r="J61" s="59"/>
      <c r="K61" s="72"/>
      <c r="L61" s="59"/>
      <c r="M61" s="59"/>
      <c r="N61" s="72"/>
    </row>
    <row r="62" customFormat="false" ht="15.75" hidden="false" customHeight="false" outlineLevel="0" collapsed="false">
      <c r="A62" s="80" t="n">
        <v>2</v>
      </c>
      <c r="B62" s="68" t="s">
        <v>101</v>
      </c>
      <c r="C62" s="68" t="s">
        <v>33</v>
      </c>
      <c r="D62" s="68" t="s">
        <v>141</v>
      </c>
      <c r="E62" s="68" t="str">
        <f aca="false">C62&amp;D62</f>
        <v>IGF2V4</v>
      </c>
      <c r="F62" s="82" t="n">
        <v>23.287</v>
      </c>
      <c r="G62" s="59"/>
      <c r="H62" s="59"/>
      <c r="I62" s="59"/>
      <c r="J62" s="59"/>
      <c r="K62" s="72"/>
      <c r="L62" s="59"/>
      <c r="M62" s="59"/>
      <c r="N62" s="72"/>
    </row>
    <row r="63" customFormat="false" ht="15.75" hidden="false" customHeight="false" outlineLevel="0" collapsed="false">
      <c r="A63" s="80" t="n">
        <v>2</v>
      </c>
      <c r="B63" s="68" t="s">
        <v>102</v>
      </c>
      <c r="C63" s="68" t="s">
        <v>33</v>
      </c>
      <c r="D63" s="68" t="s">
        <v>142</v>
      </c>
      <c r="E63" s="68" t="str">
        <f aca="false">C63&amp;D63</f>
        <v>IGF2V5</v>
      </c>
      <c r="F63" s="82" t="n">
        <v>22.169</v>
      </c>
      <c r="G63" s="59"/>
      <c r="H63" s="59"/>
      <c r="I63" s="59"/>
      <c r="J63" s="59"/>
      <c r="K63" s="72"/>
      <c r="L63" s="59"/>
      <c r="M63" s="59"/>
      <c r="N63" s="72"/>
    </row>
    <row r="64" customFormat="false" ht="15.75" hidden="false" customHeight="false" outlineLevel="0" collapsed="false">
      <c r="A64" s="80" t="n">
        <v>2</v>
      </c>
      <c r="B64" s="68" t="s">
        <v>103</v>
      </c>
      <c r="C64" s="68" t="s">
        <v>33</v>
      </c>
      <c r="D64" s="68" t="s">
        <v>143</v>
      </c>
      <c r="E64" s="68" t="str">
        <f aca="false">C64&amp;D64</f>
        <v>IGF2V7</v>
      </c>
      <c r="F64" s="82" t="n">
        <v>22.149</v>
      </c>
      <c r="G64" s="59"/>
      <c r="H64" s="59"/>
      <c r="I64" s="59"/>
      <c r="J64" s="59"/>
      <c r="K64" s="72"/>
      <c r="L64" s="59"/>
      <c r="M64" s="59"/>
      <c r="N64" s="72"/>
    </row>
    <row r="65" customFormat="false" ht="15.75" hidden="false" customHeight="false" outlineLevel="0" collapsed="false">
      <c r="A65" s="80" t="n">
        <v>2</v>
      </c>
      <c r="B65" s="68" t="s">
        <v>104</v>
      </c>
      <c r="C65" s="68" t="s">
        <v>33</v>
      </c>
      <c r="D65" s="68" t="s">
        <v>144</v>
      </c>
      <c r="E65" s="68" t="str">
        <f aca="false">C65&amp;D65</f>
        <v>IGF2V8</v>
      </c>
      <c r="F65" s="82" t="n">
        <v>23.16</v>
      </c>
      <c r="G65" s="59"/>
      <c r="H65" s="59"/>
      <c r="I65" s="59"/>
      <c r="J65" s="59"/>
      <c r="K65" s="72"/>
      <c r="L65" s="59"/>
      <c r="M65" s="59"/>
      <c r="N65" s="72"/>
    </row>
    <row r="66" customFormat="false" ht="15.75" hidden="false" customHeight="false" outlineLevel="0" collapsed="false">
      <c r="A66" s="80" t="n">
        <v>2</v>
      </c>
      <c r="B66" s="68" t="s">
        <v>105</v>
      </c>
      <c r="C66" s="68" t="s">
        <v>33</v>
      </c>
      <c r="D66" s="68" t="s">
        <v>145</v>
      </c>
      <c r="E66" s="68" t="str">
        <f aca="false">C66&amp;D66</f>
        <v>IGF2V10</v>
      </c>
      <c r="F66" s="82" t="n">
        <v>23.521</v>
      </c>
      <c r="G66" s="59"/>
      <c r="H66" s="59"/>
      <c r="I66" s="59"/>
      <c r="J66" s="59"/>
      <c r="K66" s="72"/>
      <c r="L66" s="59"/>
      <c r="M66" s="59"/>
      <c r="N66" s="72"/>
    </row>
    <row r="67" customFormat="false" ht="15.75" hidden="false" customHeight="false" outlineLevel="0" collapsed="false">
      <c r="A67" s="80" t="n">
        <v>2</v>
      </c>
      <c r="B67" s="68" t="s">
        <v>106</v>
      </c>
      <c r="C67" s="68" t="s">
        <v>33</v>
      </c>
      <c r="D67" s="68" t="s">
        <v>146</v>
      </c>
      <c r="E67" s="68" t="str">
        <f aca="false">C67&amp;D67</f>
        <v>IGF2V12</v>
      </c>
      <c r="F67" s="82" t="n">
        <v>24.014</v>
      </c>
      <c r="G67" s="59"/>
      <c r="H67" s="59"/>
      <c r="I67" s="59"/>
      <c r="J67" s="59"/>
      <c r="K67" s="72"/>
      <c r="L67" s="59"/>
      <c r="M67" s="59"/>
      <c r="N67" s="72"/>
    </row>
    <row r="68" customFormat="false" ht="15.75" hidden="false" customHeight="false" outlineLevel="0" collapsed="false">
      <c r="A68" s="80" t="n">
        <v>2</v>
      </c>
      <c r="B68" s="68" t="s">
        <v>107</v>
      </c>
      <c r="C68" s="68" t="s">
        <v>34</v>
      </c>
      <c r="D68" s="81" t="n">
        <v>1</v>
      </c>
      <c r="E68" s="68" t="str">
        <f aca="false">C68&amp;D68</f>
        <v>CCL21</v>
      </c>
      <c r="F68" s="82" t="n">
        <v>30.881</v>
      </c>
      <c r="G68" s="59"/>
      <c r="H68" s="59"/>
      <c r="I68" s="59"/>
      <c r="J68" s="59"/>
      <c r="K68" s="72"/>
      <c r="L68" s="59"/>
      <c r="M68" s="59"/>
      <c r="N68" s="72"/>
    </row>
    <row r="69" customFormat="false" ht="15.75" hidden="false" customHeight="false" outlineLevel="0" collapsed="false">
      <c r="A69" s="80" t="n">
        <v>2</v>
      </c>
      <c r="B69" s="68" t="s">
        <v>108</v>
      </c>
      <c r="C69" s="68" t="s">
        <v>34</v>
      </c>
      <c r="D69" s="81" t="n">
        <v>0.1</v>
      </c>
      <c r="E69" s="68" t="str">
        <f aca="false">C69&amp;D69</f>
        <v>CCL20.1</v>
      </c>
      <c r="F69" s="82" t="n">
        <v>33.782</v>
      </c>
      <c r="G69" s="59"/>
      <c r="H69" s="59"/>
      <c r="I69" s="59"/>
      <c r="J69" s="59"/>
      <c r="K69" s="72"/>
      <c r="L69" s="59"/>
      <c r="M69" s="59"/>
      <c r="N69" s="72"/>
    </row>
    <row r="70" customFormat="false" ht="15.75" hidden="false" customHeight="false" outlineLevel="0" collapsed="false">
      <c r="A70" s="80" t="n">
        <v>2</v>
      </c>
      <c r="B70" s="68" t="s">
        <v>109</v>
      </c>
      <c r="C70" s="68" t="s">
        <v>34</v>
      </c>
      <c r="D70" s="81" t="n">
        <v>0.01</v>
      </c>
      <c r="E70" s="68" t="str">
        <f aca="false">C70&amp;D70</f>
        <v>CCL20.01</v>
      </c>
      <c r="F70" s="82" t="n">
        <v>37.157</v>
      </c>
      <c r="G70" s="59"/>
      <c r="H70" s="59"/>
      <c r="I70" s="59"/>
      <c r="J70" s="59"/>
      <c r="K70" s="72"/>
      <c r="L70" s="59"/>
      <c r="M70" s="59"/>
      <c r="N70" s="72"/>
    </row>
    <row r="71" customFormat="false" ht="15.75" hidden="false" customHeight="false" outlineLevel="0" collapsed="false">
      <c r="A71" s="80" t="n">
        <v>2</v>
      </c>
      <c r="B71" s="68" t="s">
        <v>110</v>
      </c>
      <c r="C71" s="68" t="s">
        <v>34</v>
      </c>
      <c r="D71" s="84" t="n">
        <v>0.001</v>
      </c>
      <c r="E71" s="68" t="str">
        <f aca="false">C71&amp;D71</f>
        <v>CCL20.001</v>
      </c>
      <c r="F71" s="82" t="s">
        <v>88</v>
      </c>
      <c r="G71" s="59"/>
      <c r="H71" s="59"/>
      <c r="I71" s="59"/>
      <c r="J71" s="59"/>
      <c r="K71" s="72"/>
      <c r="L71" s="59"/>
      <c r="M71" s="59"/>
      <c r="N71" s="72"/>
    </row>
    <row r="72" customFormat="false" ht="15.75" hidden="false" customHeight="false" outlineLevel="0" collapsed="false">
      <c r="A72" s="80" t="n">
        <v>2</v>
      </c>
      <c r="B72" s="68" t="s">
        <v>111</v>
      </c>
      <c r="C72" s="68" t="s">
        <v>34</v>
      </c>
      <c r="D72" s="68" t="s">
        <v>131</v>
      </c>
      <c r="E72" s="68" t="str">
        <f aca="false">C72&amp;D72</f>
        <v>CCL2C1</v>
      </c>
      <c r="F72" s="82" t="n">
        <v>30.827</v>
      </c>
      <c r="G72" s="59"/>
      <c r="H72" s="59"/>
      <c r="I72" s="59"/>
      <c r="J72" s="59"/>
      <c r="K72" s="72"/>
      <c r="L72" s="59"/>
      <c r="M72" s="59"/>
      <c r="N72" s="72"/>
    </row>
    <row r="73" customFormat="false" ht="15.75" hidden="false" customHeight="false" outlineLevel="0" collapsed="false">
      <c r="A73" s="80" t="n">
        <v>2</v>
      </c>
      <c r="B73" s="68" t="s">
        <v>112</v>
      </c>
      <c r="C73" s="68" t="s">
        <v>34</v>
      </c>
      <c r="D73" s="68" t="s">
        <v>132</v>
      </c>
      <c r="E73" s="68" t="str">
        <f aca="false">C73&amp;D73</f>
        <v>CCL2C2</v>
      </c>
      <c r="F73" s="82" t="n">
        <v>31.85</v>
      </c>
      <c r="G73" s="59"/>
      <c r="H73" s="59"/>
      <c r="I73" s="59"/>
      <c r="J73" s="59"/>
      <c r="K73" s="72"/>
      <c r="L73" s="59"/>
      <c r="M73" s="59"/>
      <c r="N73" s="72"/>
    </row>
    <row r="74" customFormat="false" ht="15.75" hidden="false" customHeight="false" outlineLevel="0" collapsed="false">
      <c r="A74" s="80" t="n">
        <v>2</v>
      </c>
      <c r="B74" s="68" t="s">
        <v>113</v>
      </c>
      <c r="C74" s="68" t="s">
        <v>34</v>
      </c>
      <c r="D74" s="68" t="s">
        <v>133</v>
      </c>
      <c r="E74" s="68" t="str">
        <f aca="false">C74&amp;D74</f>
        <v>CCL2C3</v>
      </c>
      <c r="F74" s="82" t="n">
        <v>31.947</v>
      </c>
      <c r="G74" s="59"/>
      <c r="H74" s="59"/>
      <c r="I74" s="59"/>
      <c r="J74" s="59"/>
      <c r="K74" s="72"/>
      <c r="L74" s="59"/>
      <c r="M74" s="59"/>
      <c r="N74" s="72"/>
    </row>
    <row r="75" customFormat="false" ht="15.75" hidden="false" customHeight="false" outlineLevel="0" collapsed="false">
      <c r="A75" s="80" t="n">
        <v>2</v>
      </c>
      <c r="B75" s="68" t="s">
        <v>114</v>
      </c>
      <c r="C75" s="68" t="s">
        <v>34</v>
      </c>
      <c r="D75" s="68" t="s">
        <v>105</v>
      </c>
      <c r="E75" s="68" t="str">
        <f aca="false">C75&amp;D75</f>
        <v>CCL2C5</v>
      </c>
      <c r="F75" s="82" t="n">
        <v>33.406</v>
      </c>
      <c r="G75" s="59"/>
      <c r="H75" s="59"/>
      <c r="I75" s="59"/>
      <c r="J75" s="59"/>
      <c r="K75" s="72"/>
      <c r="L75" s="59"/>
      <c r="M75" s="59"/>
      <c r="N75" s="72"/>
    </row>
    <row r="76" customFormat="false" ht="15.75" hidden="false" customHeight="false" outlineLevel="0" collapsed="false">
      <c r="A76" s="80" t="n">
        <v>2</v>
      </c>
      <c r="B76" s="68" t="s">
        <v>115</v>
      </c>
      <c r="C76" s="68" t="s">
        <v>34</v>
      </c>
      <c r="D76" s="68" t="s">
        <v>106</v>
      </c>
      <c r="E76" s="68" t="str">
        <f aca="false">C76&amp;D76</f>
        <v>CCL2C6</v>
      </c>
      <c r="F76" s="82" t="n">
        <v>33.012</v>
      </c>
      <c r="G76" s="59"/>
      <c r="H76" s="59"/>
      <c r="I76" s="59"/>
      <c r="J76" s="59"/>
      <c r="K76" s="72"/>
      <c r="L76" s="59"/>
      <c r="M76" s="59"/>
      <c r="N76" s="72"/>
    </row>
    <row r="77" customFormat="false" ht="15.75" hidden="false" customHeight="false" outlineLevel="0" collapsed="false">
      <c r="A77" s="80" t="n">
        <v>2</v>
      </c>
      <c r="B77" s="68" t="s">
        <v>116</v>
      </c>
      <c r="C77" s="68" t="s">
        <v>34</v>
      </c>
      <c r="D77" s="68" t="s">
        <v>134</v>
      </c>
      <c r="E77" s="68" t="str">
        <f aca="false">C77&amp;D77</f>
        <v>CCL2C7</v>
      </c>
      <c r="F77" s="82" t="n">
        <v>31.702</v>
      </c>
      <c r="G77" s="59"/>
      <c r="H77" s="59"/>
      <c r="I77" s="59"/>
      <c r="J77" s="59"/>
      <c r="K77" s="72"/>
      <c r="L77" s="59"/>
      <c r="M77" s="59"/>
      <c r="N77" s="72"/>
    </row>
    <row r="78" customFormat="false" ht="15.75" hidden="false" customHeight="false" outlineLevel="0" collapsed="false">
      <c r="A78" s="80" t="n">
        <v>2</v>
      </c>
      <c r="B78" s="68" t="s">
        <v>117</v>
      </c>
      <c r="C78" s="68" t="s">
        <v>34</v>
      </c>
      <c r="D78" s="68" t="s">
        <v>135</v>
      </c>
      <c r="E78" s="68" t="str">
        <f aca="false">C78&amp;D78</f>
        <v>CCL2C10</v>
      </c>
      <c r="F78" s="82" t="n">
        <v>31.709</v>
      </c>
      <c r="G78" s="59"/>
      <c r="H78" s="59"/>
      <c r="I78" s="59"/>
      <c r="J78" s="59"/>
      <c r="K78" s="72"/>
      <c r="L78" s="59"/>
      <c r="M78" s="59"/>
      <c r="N78" s="72"/>
    </row>
    <row r="79" customFormat="false" ht="15.75" hidden="false" customHeight="false" outlineLevel="0" collapsed="false">
      <c r="A79" s="80" t="n">
        <v>2</v>
      </c>
      <c r="B79" s="68" t="s">
        <v>118</v>
      </c>
      <c r="C79" s="68" t="s">
        <v>34</v>
      </c>
      <c r="D79" s="68" t="s">
        <v>136</v>
      </c>
      <c r="E79" s="68" t="str">
        <f aca="false">C79&amp;D79</f>
        <v>CCL2C11</v>
      </c>
      <c r="F79" s="82" t="n">
        <v>32.619</v>
      </c>
      <c r="G79" s="59"/>
      <c r="H79" s="59"/>
      <c r="I79" s="59"/>
      <c r="J79" s="59"/>
      <c r="K79" s="72"/>
      <c r="L79" s="59"/>
      <c r="M79" s="59"/>
      <c r="N79" s="72"/>
    </row>
    <row r="80" customFormat="false" ht="15.75" hidden="false" customHeight="false" outlineLevel="0" collapsed="false">
      <c r="A80" s="80" t="n">
        <v>2</v>
      </c>
      <c r="B80" s="68" t="s">
        <v>119</v>
      </c>
      <c r="C80" s="68" t="s">
        <v>34</v>
      </c>
      <c r="D80" s="68" t="s">
        <v>137</v>
      </c>
      <c r="E80" s="68" t="str">
        <f aca="false">C80&amp;D80</f>
        <v>CCL2C12</v>
      </c>
      <c r="F80" s="82" t="n">
        <v>32.23</v>
      </c>
      <c r="G80" s="59"/>
      <c r="H80" s="59"/>
      <c r="I80" s="59"/>
      <c r="J80" s="59"/>
      <c r="K80" s="72"/>
      <c r="L80" s="59"/>
      <c r="M80" s="59"/>
      <c r="N80" s="72"/>
    </row>
    <row r="81" customFormat="false" ht="15.75" hidden="false" customHeight="false" outlineLevel="0" collapsed="false">
      <c r="A81" s="80" t="n">
        <v>2</v>
      </c>
      <c r="B81" s="68" t="s">
        <v>120</v>
      </c>
      <c r="C81" s="68" t="s">
        <v>34</v>
      </c>
      <c r="D81" s="68" t="s">
        <v>138</v>
      </c>
      <c r="E81" s="68" t="str">
        <f aca="false">C81&amp;D81</f>
        <v>CCL2V1</v>
      </c>
      <c r="F81" s="82" t="n">
        <v>31.949</v>
      </c>
      <c r="G81" s="59"/>
      <c r="H81" s="59"/>
      <c r="I81" s="59"/>
      <c r="J81" s="59"/>
      <c r="K81" s="72"/>
      <c r="L81" s="59"/>
      <c r="M81" s="59"/>
      <c r="N81" s="72"/>
    </row>
    <row r="82" customFormat="false" ht="15.75" hidden="false" customHeight="false" outlineLevel="0" collapsed="false">
      <c r="A82" s="80" t="n">
        <v>2</v>
      </c>
      <c r="B82" s="68" t="s">
        <v>121</v>
      </c>
      <c r="C82" s="68" t="s">
        <v>34</v>
      </c>
      <c r="D82" s="68" t="s">
        <v>139</v>
      </c>
      <c r="E82" s="68" t="str">
        <f aca="false">C82&amp;D82</f>
        <v>CCL2V2</v>
      </c>
      <c r="F82" s="82" t="n">
        <v>31.22</v>
      </c>
      <c r="G82" s="59"/>
      <c r="H82" s="59"/>
      <c r="I82" s="59"/>
      <c r="J82" s="59"/>
      <c r="K82" s="72"/>
      <c r="L82" s="59"/>
      <c r="M82" s="59"/>
      <c r="N82" s="72"/>
    </row>
    <row r="83" customFormat="false" ht="15.75" hidden="false" customHeight="false" outlineLevel="0" collapsed="false">
      <c r="A83" s="80" t="n">
        <v>2</v>
      </c>
      <c r="B83" s="68" t="s">
        <v>122</v>
      </c>
      <c r="C83" s="68" t="s">
        <v>34</v>
      </c>
      <c r="D83" s="68" t="s">
        <v>140</v>
      </c>
      <c r="E83" s="68" t="str">
        <f aca="false">C83&amp;D83</f>
        <v>CCL2V3</v>
      </c>
      <c r="F83" s="82" t="n">
        <v>31.857</v>
      </c>
      <c r="G83" s="59"/>
      <c r="H83" s="59"/>
      <c r="I83" s="59"/>
      <c r="J83" s="59"/>
      <c r="K83" s="72"/>
      <c r="L83" s="59"/>
      <c r="M83" s="59"/>
      <c r="N83" s="72"/>
    </row>
    <row r="84" customFormat="false" ht="15.75" hidden="false" customHeight="false" outlineLevel="0" collapsed="false">
      <c r="A84" s="80" t="n">
        <v>2</v>
      </c>
      <c r="B84" s="68" t="s">
        <v>123</v>
      </c>
      <c r="C84" s="68" t="s">
        <v>34</v>
      </c>
      <c r="D84" s="68" t="s">
        <v>141</v>
      </c>
      <c r="E84" s="68" t="str">
        <f aca="false">C84&amp;D84</f>
        <v>CCL2V4</v>
      </c>
      <c r="F84" s="82" t="n">
        <v>31.761</v>
      </c>
      <c r="G84" s="59"/>
      <c r="H84" s="59"/>
      <c r="I84" s="59"/>
      <c r="J84" s="59"/>
      <c r="K84" s="72"/>
      <c r="L84" s="59"/>
      <c r="M84" s="59"/>
      <c r="N84" s="72"/>
    </row>
    <row r="85" customFormat="false" ht="15.75" hidden="false" customHeight="false" outlineLevel="0" collapsed="false">
      <c r="A85" s="80" t="n">
        <v>2</v>
      </c>
      <c r="B85" s="68" t="s">
        <v>124</v>
      </c>
      <c r="C85" s="68" t="s">
        <v>34</v>
      </c>
      <c r="D85" s="68" t="s">
        <v>142</v>
      </c>
      <c r="E85" s="68" t="str">
        <f aca="false">C85&amp;D85</f>
        <v>CCL2V5</v>
      </c>
      <c r="F85" s="82" t="n">
        <v>30.97</v>
      </c>
      <c r="G85" s="59"/>
      <c r="H85" s="59"/>
      <c r="I85" s="59"/>
      <c r="J85" s="59"/>
      <c r="K85" s="72"/>
      <c r="L85" s="59"/>
      <c r="M85" s="59"/>
      <c r="N85" s="72"/>
    </row>
    <row r="86" customFormat="false" ht="15.75" hidden="false" customHeight="false" outlineLevel="0" collapsed="false">
      <c r="A86" s="80" t="n">
        <v>2</v>
      </c>
      <c r="B86" s="68" t="s">
        <v>125</v>
      </c>
      <c r="C86" s="68" t="s">
        <v>34</v>
      </c>
      <c r="D86" s="68" t="s">
        <v>143</v>
      </c>
      <c r="E86" s="68" t="str">
        <f aca="false">C86&amp;D86</f>
        <v>CCL2V7</v>
      </c>
      <c r="F86" s="82" t="n">
        <v>31.718</v>
      </c>
      <c r="G86" s="59"/>
      <c r="H86" s="59"/>
      <c r="I86" s="59"/>
      <c r="J86" s="59"/>
      <c r="K86" s="72"/>
      <c r="L86" s="59"/>
      <c r="M86" s="59"/>
      <c r="N86" s="72"/>
    </row>
    <row r="87" customFormat="false" ht="15.75" hidden="false" customHeight="false" outlineLevel="0" collapsed="false">
      <c r="A87" s="80" t="n">
        <v>2</v>
      </c>
      <c r="B87" s="68" t="s">
        <v>126</v>
      </c>
      <c r="C87" s="68" t="s">
        <v>34</v>
      </c>
      <c r="D87" s="68" t="s">
        <v>144</v>
      </c>
      <c r="E87" s="68" t="str">
        <f aca="false">C87&amp;D87</f>
        <v>CCL2V8</v>
      </c>
      <c r="F87" s="82" t="n">
        <v>32.357</v>
      </c>
      <c r="G87" s="59"/>
      <c r="H87" s="59"/>
      <c r="I87" s="59"/>
      <c r="J87" s="59"/>
      <c r="K87" s="72"/>
      <c r="L87" s="59"/>
      <c r="M87" s="59"/>
      <c r="N87" s="72"/>
    </row>
    <row r="88" customFormat="false" ht="15.75" hidden="false" customHeight="false" outlineLevel="0" collapsed="false">
      <c r="A88" s="80" t="n">
        <v>2</v>
      </c>
      <c r="B88" s="68" t="s">
        <v>127</v>
      </c>
      <c r="C88" s="68" t="s">
        <v>34</v>
      </c>
      <c r="D88" s="68" t="s">
        <v>145</v>
      </c>
      <c r="E88" s="68" t="str">
        <f aca="false">C88&amp;D88</f>
        <v>CCL2V10</v>
      </c>
      <c r="F88" s="82" t="n">
        <v>31.78</v>
      </c>
      <c r="G88" s="59"/>
      <c r="H88" s="59"/>
      <c r="I88" s="59"/>
      <c r="J88" s="59"/>
      <c r="K88" s="72"/>
      <c r="L88" s="59"/>
      <c r="M88" s="59"/>
      <c r="N88" s="72"/>
    </row>
    <row r="89" customFormat="false" ht="15.75" hidden="false" customHeight="false" outlineLevel="0" collapsed="false">
      <c r="A89" s="80" t="n">
        <v>2</v>
      </c>
      <c r="B89" s="68" t="s">
        <v>128</v>
      </c>
      <c r="C89" s="68" t="s">
        <v>34</v>
      </c>
      <c r="D89" s="68" t="s">
        <v>146</v>
      </c>
      <c r="E89" s="68" t="str">
        <f aca="false">C89&amp;D89</f>
        <v>CCL2V12</v>
      </c>
      <c r="F89" s="82" t="n">
        <v>32.291</v>
      </c>
      <c r="G89" s="59"/>
      <c r="H89" s="59"/>
      <c r="I89" s="59"/>
      <c r="J89" s="59"/>
      <c r="K89" s="72"/>
      <c r="L89" s="59"/>
      <c r="M89" s="59"/>
      <c r="N89" s="72"/>
    </row>
    <row r="90" customFormat="false" ht="15.75" hidden="false" customHeight="false" outlineLevel="0" collapsed="false">
      <c r="A90" s="80" t="n">
        <v>3</v>
      </c>
      <c r="B90" s="68" t="s">
        <v>80</v>
      </c>
      <c r="C90" s="68" t="s">
        <v>37</v>
      </c>
      <c r="D90" s="81" t="n">
        <v>1</v>
      </c>
      <c r="E90" s="68" t="str">
        <f aca="false">C90&amp;D90</f>
        <v>BCAS11</v>
      </c>
      <c r="F90" s="82" t="n">
        <v>28.998</v>
      </c>
      <c r="G90" s="59"/>
      <c r="H90" s="59"/>
      <c r="I90" s="59"/>
      <c r="J90" s="59"/>
      <c r="K90" s="72"/>
      <c r="L90" s="59"/>
      <c r="M90" s="59"/>
      <c r="N90" s="72"/>
    </row>
    <row r="91" customFormat="false" ht="15.75" hidden="false" customHeight="false" outlineLevel="0" collapsed="false">
      <c r="A91" s="80" t="n">
        <v>3</v>
      </c>
      <c r="B91" s="68" t="s">
        <v>85</v>
      </c>
      <c r="C91" s="68" t="s">
        <v>37</v>
      </c>
      <c r="D91" s="81" t="n">
        <v>0.1</v>
      </c>
      <c r="E91" s="68" t="str">
        <f aca="false">C91&amp;D91</f>
        <v>BCAS10.1</v>
      </c>
      <c r="F91" s="82" t="n">
        <v>27.722</v>
      </c>
      <c r="G91" s="59"/>
      <c r="H91" s="59"/>
      <c r="I91" s="59"/>
      <c r="J91" s="59"/>
      <c r="K91" s="72"/>
      <c r="L91" s="59"/>
      <c r="M91" s="59"/>
      <c r="N91" s="72"/>
    </row>
    <row r="92" customFormat="false" ht="15.75" hidden="false" customHeight="false" outlineLevel="0" collapsed="false">
      <c r="A92" s="80" t="n">
        <v>3</v>
      </c>
      <c r="B92" s="68" t="s">
        <v>86</v>
      </c>
      <c r="C92" s="68" t="s">
        <v>37</v>
      </c>
      <c r="D92" s="81" t="n">
        <v>0.01</v>
      </c>
      <c r="E92" s="68" t="str">
        <f aca="false">C92&amp;D92</f>
        <v>BCAS10.01</v>
      </c>
      <c r="F92" s="82" t="n">
        <v>31.877</v>
      </c>
      <c r="G92" s="59"/>
      <c r="H92" s="59"/>
      <c r="I92" s="59"/>
      <c r="J92" s="59"/>
      <c r="K92" s="72"/>
      <c r="L92" s="59"/>
      <c r="M92" s="59"/>
      <c r="N92" s="72"/>
    </row>
    <row r="93" customFormat="false" ht="15.75" hidden="false" customHeight="false" outlineLevel="0" collapsed="false">
      <c r="A93" s="80" t="n">
        <v>3</v>
      </c>
      <c r="B93" s="68" t="s">
        <v>87</v>
      </c>
      <c r="C93" s="68" t="s">
        <v>37</v>
      </c>
      <c r="D93" s="84" t="n">
        <v>0.001</v>
      </c>
      <c r="E93" s="68" t="str">
        <f aca="false">C93&amp;D93</f>
        <v>BCAS10.001</v>
      </c>
      <c r="F93" s="82" t="n">
        <v>34.145</v>
      </c>
      <c r="G93" s="59"/>
      <c r="H93" s="59"/>
      <c r="I93" s="59"/>
      <c r="J93" s="59"/>
      <c r="K93" s="72"/>
      <c r="L93" s="59"/>
      <c r="M93" s="59"/>
      <c r="N93" s="72"/>
    </row>
    <row r="94" customFormat="false" ht="15.75" hidden="false" customHeight="false" outlineLevel="0" collapsed="false">
      <c r="A94" s="80" t="n">
        <v>3</v>
      </c>
      <c r="B94" s="68" t="s">
        <v>89</v>
      </c>
      <c r="C94" s="68" t="s">
        <v>37</v>
      </c>
      <c r="D94" s="68" t="s">
        <v>131</v>
      </c>
      <c r="E94" s="68" t="str">
        <f aca="false">C94&amp;D94</f>
        <v>BCAS1C1</v>
      </c>
      <c r="F94" s="82" t="n">
        <v>25.634</v>
      </c>
      <c r="G94" s="59"/>
      <c r="H94" s="59"/>
      <c r="I94" s="59"/>
      <c r="J94" s="59"/>
      <c r="K94" s="72"/>
      <c r="L94" s="59"/>
      <c r="M94" s="59"/>
      <c r="N94" s="72"/>
    </row>
    <row r="95" customFormat="false" ht="15.75" hidden="false" customHeight="false" outlineLevel="0" collapsed="false">
      <c r="A95" s="80" t="n">
        <v>3</v>
      </c>
      <c r="B95" s="68" t="s">
        <v>90</v>
      </c>
      <c r="C95" s="68" t="s">
        <v>37</v>
      </c>
      <c r="D95" s="68" t="s">
        <v>132</v>
      </c>
      <c r="E95" s="68" t="str">
        <f aca="false">C95&amp;D95</f>
        <v>BCAS1C2</v>
      </c>
      <c r="F95" s="82" t="n">
        <v>25.872</v>
      </c>
      <c r="G95" s="59"/>
      <c r="H95" s="59"/>
      <c r="I95" s="59"/>
      <c r="J95" s="59"/>
      <c r="K95" s="72"/>
      <c r="L95" s="59"/>
      <c r="M95" s="59"/>
      <c r="N95" s="72"/>
    </row>
    <row r="96" customFormat="false" ht="15.75" hidden="false" customHeight="false" outlineLevel="0" collapsed="false">
      <c r="A96" s="80" t="n">
        <v>3</v>
      </c>
      <c r="B96" s="68" t="s">
        <v>91</v>
      </c>
      <c r="C96" s="68" t="s">
        <v>37</v>
      </c>
      <c r="D96" s="68" t="s">
        <v>133</v>
      </c>
      <c r="E96" s="68" t="str">
        <f aca="false">C96&amp;D96</f>
        <v>BCAS1C3</v>
      </c>
      <c r="F96" s="82" t="n">
        <v>25.635</v>
      </c>
      <c r="G96" s="59"/>
      <c r="H96" s="59"/>
      <c r="I96" s="59"/>
      <c r="J96" s="59"/>
      <c r="K96" s="72"/>
      <c r="L96" s="59"/>
      <c r="M96" s="59"/>
      <c r="N96" s="72"/>
    </row>
    <row r="97" customFormat="false" ht="15.75" hidden="false" customHeight="false" outlineLevel="0" collapsed="false">
      <c r="A97" s="80" t="n">
        <v>3</v>
      </c>
      <c r="B97" s="68" t="s">
        <v>92</v>
      </c>
      <c r="C97" s="68" t="s">
        <v>37</v>
      </c>
      <c r="D97" s="68" t="s">
        <v>105</v>
      </c>
      <c r="E97" s="68" t="str">
        <f aca="false">C97&amp;D97</f>
        <v>BCAS1C5</v>
      </c>
      <c r="F97" s="82" t="n">
        <v>26.234</v>
      </c>
      <c r="G97" s="59"/>
      <c r="H97" s="59"/>
      <c r="I97" s="59"/>
      <c r="J97" s="59"/>
      <c r="K97" s="72"/>
      <c r="L97" s="59"/>
      <c r="M97" s="59"/>
      <c r="N97" s="72"/>
    </row>
    <row r="98" customFormat="false" ht="15.75" hidden="false" customHeight="false" outlineLevel="0" collapsed="false">
      <c r="A98" s="80" t="n">
        <v>3</v>
      </c>
      <c r="B98" s="68" t="s">
        <v>93</v>
      </c>
      <c r="C98" s="68" t="s">
        <v>37</v>
      </c>
      <c r="D98" s="68" t="s">
        <v>106</v>
      </c>
      <c r="E98" s="68" t="str">
        <f aca="false">C98&amp;D98</f>
        <v>BCAS1C6</v>
      </c>
      <c r="F98" s="82" t="n">
        <v>26.604</v>
      </c>
      <c r="G98" s="59"/>
      <c r="H98" s="59"/>
      <c r="I98" s="59"/>
      <c r="J98" s="59"/>
      <c r="K98" s="72"/>
      <c r="L98" s="59"/>
      <c r="M98" s="59"/>
      <c r="N98" s="72"/>
    </row>
    <row r="99" customFormat="false" ht="15.75" hidden="false" customHeight="false" outlineLevel="0" collapsed="false">
      <c r="A99" s="80" t="n">
        <v>3</v>
      </c>
      <c r="B99" s="68" t="s">
        <v>94</v>
      </c>
      <c r="C99" s="68" t="s">
        <v>37</v>
      </c>
      <c r="D99" s="68" t="s">
        <v>134</v>
      </c>
      <c r="E99" s="68" t="str">
        <f aca="false">C99&amp;D99</f>
        <v>BCAS1C7</v>
      </c>
      <c r="F99" s="82" t="n">
        <v>25.277</v>
      </c>
      <c r="G99" s="59"/>
      <c r="H99" s="59"/>
      <c r="I99" s="59"/>
      <c r="J99" s="59"/>
      <c r="K99" s="72"/>
      <c r="L99" s="59"/>
      <c r="M99" s="59"/>
      <c r="N99" s="72"/>
    </row>
    <row r="100" customFormat="false" ht="15.75" hidden="false" customHeight="false" outlineLevel="0" collapsed="false">
      <c r="A100" s="80" t="n">
        <v>3</v>
      </c>
      <c r="B100" s="68" t="s">
        <v>95</v>
      </c>
      <c r="C100" s="68" t="s">
        <v>37</v>
      </c>
      <c r="D100" s="68" t="s">
        <v>135</v>
      </c>
      <c r="E100" s="68" t="str">
        <f aca="false">C100&amp;D100</f>
        <v>BCAS1C10</v>
      </c>
      <c r="F100" s="82" t="n">
        <v>25.778</v>
      </c>
      <c r="G100" s="59"/>
      <c r="H100" s="59"/>
      <c r="I100" s="59"/>
      <c r="J100" s="59"/>
      <c r="K100" s="72"/>
      <c r="L100" s="59"/>
      <c r="M100" s="59"/>
      <c r="N100" s="72"/>
    </row>
    <row r="101" customFormat="false" ht="15.75" hidden="false" customHeight="false" outlineLevel="0" collapsed="false">
      <c r="A101" s="80" t="n">
        <v>3</v>
      </c>
      <c r="B101" s="68" t="s">
        <v>96</v>
      </c>
      <c r="C101" s="68" t="s">
        <v>37</v>
      </c>
      <c r="D101" s="68" t="s">
        <v>136</v>
      </c>
      <c r="E101" s="68" t="str">
        <f aca="false">C101&amp;D101</f>
        <v>BCAS1C11</v>
      </c>
      <c r="F101" s="82" t="n">
        <v>26.368</v>
      </c>
      <c r="G101" s="59"/>
      <c r="H101" s="59"/>
      <c r="I101" s="59"/>
      <c r="J101" s="59"/>
      <c r="K101" s="72"/>
      <c r="L101" s="59"/>
      <c r="M101" s="59"/>
      <c r="N101" s="72"/>
    </row>
    <row r="102" customFormat="false" ht="15.75" hidden="false" customHeight="false" outlineLevel="0" collapsed="false">
      <c r="A102" s="80" t="n">
        <v>3</v>
      </c>
      <c r="B102" s="68" t="s">
        <v>97</v>
      </c>
      <c r="C102" s="68" t="s">
        <v>37</v>
      </c>
      <c r="D102" s="68" t="s">
        <v>137</v>
      </c>
      <c r="E102" s="68" t="str">
        <f aca="false">C102&amp;D102</f>
        <v>BCAS1C12</v>
      </c>
      <c r="F102" s="82" t="n">
        <v>25.87</v>
      </c>
      <c r="G102" s="59"/>
      <c r="H102" s="59"/>
      <c r="I102" s="59"/>
      <c r="J102" s="59"/>
      <c r="K102" s="72"/>
      <c r="L102" s="59"/>
      <c r="M102" s="59"/>
      <c r="N102" s="72"/>
    </row>
    <row r="103" customFormat="false" ht="15.75" hidden="false" customHeight="false" outlineLevel="0" collapsed="false">
      <c r="A103" s="80" t="n">
        <v>3</v>
      </c>
      <c r="B103" s="68" t="s">
        <v>98</v>
      </c>
      <c r="C103" s="68" t="s">
        <v>37</v>
      </c>
      <c r="D103" s="68" t="s">
        <v>138</v>
      </c>
      <c r="E103" s="68" t="str">
        <f aca="false">C103&amp;D103</f>
        <v>BCAS1V1</v>
      </c>
      <c r="F103" s="82" t="n">
        <v>26.028</v>
      </c>
      <c r="G103" s="59"/>
      <c r="H103" s="59"/>
      <c r="I103" s="59"/>
      <c r="J103" s="59"/>
      <c r="K103" s="72"/>
      <c r="L103" s="59"/>
      <c r="M103" s="59"/>
      <c r="N103" s="72"/>
    </row>
    <row r="104" customFormat="false" ht="15.75" hidden="false" customHeight="false" outlineLevel="0" collapsed="false">
      <c r="A104" s="80" t="n">
        <v>3</v>
      </c>
      <c r="B104" s="68" t="s">
        <v>99</v>
      </c>
      <c r="C104" s="68" t="s">
        <v>37</v>
      </c>
      <c r="D104" s="68" t="s">
        <v>139</v>
      </c>
      <c r="E104" s="68" t="str">
        <f aca="false">C104&amp;D104</f>
        <v>BCAS1V2</v>
      </c>
      <c r="F104" s="82" t="n">
        <v>26.586</v>
      </c>
      <c r="G104" s="59"/>
      <c r="H104" s="59"/>
      <c r="I104" s="59"/>
      <c r="J104" s="59"/>
      <c r="K104" s="72"/>
      <c r="L104" s="59"/>
      <c r="M104" s="59"/>
      <c r="N104" s="72"/>
    </row>
    <row r="105" customFormat="false" ht="15.75" hidden="false" customHeight="false" outlineLevel="0" collapsed="false">
      <c r="A105" s="80" t="n">
        <v>3</v>
      </c>
      <c r="B105" s="68" t="s">
        <v>100</v>
      </c>
      <c r="C105" s="68" t="s">
        <v>37</v>
      </c>
      <c r="D105" s="68" t="s">
        <v>140</v>
      </c>
      <c r="E105" s="68" t="str">
        <f aca="false">C105&amp;D105</f>
        <v>BCAS1V3</v>
      </c>
      <c r="F105" s="82" t="n">
        <v>26.164</v>
      </c>
      <c r="G105" s="59"/>
      <c r="H105" s="59"/>
      <c r="I105" s="59"/>
      <c r="J105" s="59"/>
      <c r="K105" s="72"/>
      <c r="L105" s="59"/>
      <c r="M105" s="59"/>
      <c r="N105" s="72"/>
    </row>
    <row r="106" customFormat="false" ht="15.75" hidden="false" customHeight="false" outlineLevel="0" collapsed="false">
      <c r="A106" s="80" t="n">
        <v>3</v>
      </c>
      <c r="B106" s="68" t="s">
        <v>101</v>
      </c>
      <c r="C106" s="68" t="s">
        <v>37</v>
      </c>
      <c r="D106" s="68" t="s">
        <v>141</v>
      </c>
      <c r="E106" s="68" t="str">
        <f aca="false">C106&amp;D106</f>
        <v>BCAS1V4</v>
      </c>
      <c r="F106" s="82" t="n">
        <v>25.881</v>
      </c>
      <c r="G106" s="59"/>
      <c r="H106" s="59"/>
      <c r="I106" s="59"/>
      <c r="J106" s="59"/>
      <c r="K106" s="72"/>
      <c r="L106" s="59"/>
      <c r="M106" s="59"/>
      <c r="N106" s="72"/>
    </row>
    <row r="107" customFormat="false" ht="15.75" hidden="false" customHeight="false" outlineLevel="0" collapsed="false">
      <c r="A107" s="80" t="n">
        <v>3</v>
      </c>
      <c r="B107" s="68" t="s">
        <v>102</v>
      </c>
      <c r="C107" s="68" t="s">
        <v>37</v>
      </c>
      <c r="D107" s="68" t="s">
        <v>142</v>
      </c>
      <c r="E107" s="68" t="str">
        <f aca="false">C107&amp;D107</f>
        <v>BCAS1V5</v>
      </c>
      <c r="F107" s="82" t="n">
        <v>25.196</v>
      </c>
      <c r="G107" s="59"/>
      <c r="H107" s="59"/>
      <c r="I107" s="59"/>
      <c r="J107" s="59"/>
      <c r="K107" s="72"/>
      <c r="L107" s="59"/>
      <c r="M107" s="59"/>
      <c r="N107" s="72"/>
    </row>
    <row r="108" customFormat="false" ht="15.75" hidden="false" customHeight="false" outlineLevel="0" collapsed="false">
      <c r="A108" s="80" t="n">
        <v>3</v>
      </c>
      <c r="B108" s="68" t="s">
        <v>103</v>
      </c>
      <c r="C108" s="68" t="s">
        <v>37</v>
      </c>
      <c r="D108" s="68" t="s">
        <v>143</v>
      </c>
      <c r="E108" s="68" t="str">
        <f aca="false">C108&amp;D108</f>
        <v>BCAS1V7</v>
      </c>
      <c r="F108" s="82" t="n">
        <v>26.128</v>
      </c>
      <c r="G108" s="59"/>
      <c r="H108" s="59"/>
      <c r="I108" s="59"/>
      <c r="J108" s="59"/>
      <c r="K108" s="72"/>
      <c r="L108" s="59"/>
      <c r="M108" s="59"/>
      <c r="N108" s="72"/>
    </row>
    <row r="109" customFormat="false" ht="15.75" hidden="false" customHeight="false" outlineLevel="0" collapsed="false">
      <c r="A109" s="80" t="n">
        <v>3</v>
      </c>
      <c r="B109" s="68" t="s">
        <v>104</v>
      </c>
      <c r="C109" s="68" t="s">
        <v>37</v>
      </c>
      <c r="D109" s="68" t="s">
        <v>144</v>
      </c>
      <c r="E109" s="68" t="str">
        <f aca="false">C109&amp;D109</f>
        <v>BCAS1V8</v>
      </c>
      <c r="F109" s="82" t="n">
        <v>25.577</v>
      </c>
      <c r="G109" s="59"/>
      <c r="H109" s="59"/>
      <c r="I109" s="59"/>
      <c r="J109" s="59"/>
      <c r="K109" s="72"/>
      <c r="L109" s="59"/>
      <c r="M109" s="59"/>
      <c r="N109" s="72"/>
    </row>
    <row r="110" customFormat="false" ht="15.75" hidden="false" customHeight="false" outlineLevel="0" collapsed="false">
      <c r="A110" s="80" t="n">
        <v>3</v>
      </c>
      <c r="B110" s="68" t="s">
        <v>105</v>
      </c>
      <c r="C110" s="68" t="s">
        <v>37</v>
      </c>
      <c r="D110" s="68" t="s">
        <v>145</v>
      </c>
      <c r="E110" s="68" t="str">
        <f aca="false">C110&amp;D110</f>
        <v>BCAS1V10</v>
      </c>
      <c r="F110" s="82" t="n">
        <v>25.796</v>
      </c>
      <c r="G110" s="59"/>
      <c r="H110" s="59"/>
      <c r="I110" s="59"/>
      <c r="J110" s="59"/>
      <c r="K110" s="72"/>
      <c r="L110" s="59"/>
      <c r="M110" s="59"/>
      <c r="N110" s="72"/>
    </row>
    <row r="111" customFormat="false" ht="15.75" hidden="false" customHeight="false" outlineLevel="0" collapsed="false">
      <c r="A111" s="80" t="n">
        <v>3</v>
      </c>
      <c r="B111" s="68" t="s">
        <v>106</v>
      </c>
      <c r="C111" s="68" t="s">
        <v>37</v>
      </c>
      <c r="D111" s="68" t="s">
        <v>146</v>
      </c>
      <c r="E111" s="68" t="str">
        <f aca="false">C111&amp;D111</f>
        <v>BCAS1V12</v>
      </c>
      <c r="F111" s="82" t="n">
        <v>26.153</v>
      </c>
      <c r="G111" s="59"/>
      <c r="H111" s="59"/>
      <c r="I111" s="59"/>
      <c r="J111" s="59"/>
      <c r="K111" s="72"/>
      <c r="L111" s="59"/>
      <c r="M111" s="59"/>
      <c r="N111" s="72"/>
    </row>
    <row r="112" customFormat="false" ht="15.75" hidden="false" customHeight="false" outlineLevel="0" collapsed="false">
      <c r="A112" s="80" t="n">
        <v>3</v>
      </c>
      <c r="B112" s="68" t="s">
        <v>107</v>
      </c>
      <c r="C112" s="68" t="s">
        <v>38</v>
      </c>
      <c r="D112" s="81" t="n">
        <v>1</v>
      </c>
      <c r="E112" s="68" t="str">
        <f aca="false">C112&amp;D112</f>
        <v>MOBP1</v>
      </c>
      <c r="F112" s="82" t="n">
        <v>30.133</v>
      </c>
      <c r="G112" s="59"/>
      <c r="H112" s="59"/>
      <c r="I112" s="59"/>
      <c r="J112" s="59"/>
      <c r="K112" s="72"/>
      <c r="L112" s="59"/>
      <c r="M112" s="59"/>
      <c r="N112" s="72"/>
    </row>
    <row r="113" customFormat="false" ht="15.75" hidden="false" customHeight="false" outlineLevel="0" collapsed="false">
      <c r="A113" s="80" t="n">
        <v>3</v>
      </c>
      <c r="B113" s="68" t="s">
        <v>108</v>
      </c>
      <c r="C113" s="68" t="s">
        <v>38</v>
      </c>
      <c r="D113" s="81" t="n">
        <v>0.1</v>
      </c>
      <c r="E113" s="68" t="str">
        <f aca="false">C113&amp;D113</f>
        <v>MOBP0.1</v>
      </c>
      <c r="F113" s="82" t="n">
        <v>25.832</v>
      </c>
      <c r="G113" s="59"/>
      <c r="H113" s="59"/>
      <c r="I113" s="59"/>
      <c r="J113" s="59"/>
      <c r="K113" s="72"/>
      <c r="L113" s="59"/>
      <c r="M113" s="59"/>
      <c r="N113" s="72"/>
    </row>
    <row r="114" customFormat="false" ht="15.75" hidden="false" customHeight="false" outlineLevel="0" collapsed="false">
      <c r="A114" s="80" t="n">
        <v>3</v>
      </c>
      <c r="B114" s="68" t="s">
        <v>109</v>
      </c>
      <c r="C114" s="68" t="s">
        <v>38</v>
      </c>
      <c r="D114" s="81" t="n">
        <v>0.01</v>
      </c>
      <c r="E114" s="68" t="str">
        <f aca="false">C114&amp;D114</f>
        <v>MOBP0.01</v>
      </c>
      <c r="F114" s="82" t="n">
        <v>29.306</v>
      </c>
      <c r="G114" s="59"/>
      <c r="H114" s="59"/>
      <c r="I114" s="59"/>
      <c r="J114" s="59"/>
      <c r="K114" s="72"/>
      <c r="L114" s="59"/>
      <c r="M114" s="59"/>
      <c r="N114" s="72"/>
    </row>
    <row r="115" customFormat="false" ht="15.75" hidden="false" customHeight="false" outlineLevel="0" collapsed="false">
      <c r="A115" s="80" t="n">
        <v>3</v>
      </c>
      <c r="B115" s="68" t="s">
        <v>110</v>
      </c>
      <c r="C115" s="68" t="s">
        <v>38</v>
      </c>
      <c r="D115" s="84" t="n">
        <v>0.001</v>
      </c>
      <c r="E115" s="68" t="str">
        <f aca="false">C115&amp;D115</f>
        <v>MOBP0.001</v>
      </c>
      <c r="F115" s="82" t="n">
        <v>32.268</v>
      </c>
      <c r="G115" s="59"/>
      <c r="H115" s="59"/>
      <c r="I115" s="59"/>
      <c r="J115" s="59"/>
      <c r="K115" s="72"/>
      <c r="L115" s="59"/>
      <c r="M115" s="59"/>
      <c r="N115" s="72"/>
    </row>
    <row r="116" customFormat="false" ht="15.75" hidden="false" customHeight="false" outlineLevel="0" collapsed="false">
      <c r="A116" s="80" t="n">
        <v>3</v>
      </c>
      <c r="B116" s="68" t="s">
        <v>111</v>
      </c>
      <c r="C116" s="68" t="s">
        <v>38</v>
      </c>
      <c r="D116" s="68" t="s">
        <v>131</v>
      </c>
      <c r="E116" s="68" t="str">
        <f aca="false">C116&amp;D116</f>
        <v>MOBPC1</v>
      </c>
      <c r="F116" s="82" t="n">
        <v>23.562</v>
      </c>
      <c r="G116" s="59"/>
      <c r="H116" s="59"/>
      <c r="I116" s="59"/>
      <c r="J116" s="59"/>
      <c r="K116" s="72"/>
      <c r="L116" s="59"/>
      <c r="M116" s="59"/>
      <c r="N116" s="72"/>
    </row>
    <row r="117" customFormat="false" ht="15.75" hidden="false" customHeight="false" outlineLevel="0" collapsed="false">
      <c r="A117" s="80" t="n">
        <v>3</v>
      </c>
      <c r="B117" s="68" t="s">
        <v>112</v>
      </c>
      <c r="C117" s="68" t="s">
        <v>38</v>
      </c>
      <c r="D117" s="68" t="s">
        <v>132</v>
      </c>
      <c r="E117" s="68" t="str">
        <f aca="false">C117&amp;D117</f>
        <v>MOBPC2</v>
      </c>
      <c r="F117" s="82" t="n">
        <v>24.223</v>
      </c>
      <c r="G117" s="59"/>
      <c r="H117" s="59"/>
      <c r="I117" s="59"/>
      <c r="J117" s="59"/>
      <c r="K117" s="72"/>
      <c r="L117" s="59"/>
      <c r="M117" s="59"/>
      <c r="N117" s="72"/>
    </row>
    <row r="118" customFormat="false" ht="15.75" hidden="false" customHeight="false" outlineLevel="0" collapsed="false">
      <c r="A118" s="80" t="n">
        <v>3</v>
      </c>
      <c r="B118" s="68" t="s">
        <v>113</v>
      </c>
      <c r="C118" s="68" t="s">
        <v>38</v>
      </c>
      <c r="D118" s="68" t="s">
        <v>133</v>
      </c>
      <c r="E118" s="68" t="str">
        <f aca="false">C118&amp;D118</f>
        <v>MOBPC3</v>
      </c>
      <c r="F118" s="82" t="n">
        <v>23.437</v>
      </c>
      <c r="G118" s="59"/>
      <c r="H118" s="59"/>
      <c r="I118" s="59"/>
      <c r="J118" s="59"/>
      <c r="K118" s="72"/>
      <c r="L118" s="59"/>
      <c r="M118" s="59"/>
      <c r="N118" s="72"/>
    </row>
    <row r="119" customFormat="false" ht="15.75" hidden="false" customHeight="false" outlineLevel="0" collapsed="false">
      <c r="A119" s="80" t="n">
        <v>3</v>
      </c>
      <c r="B119" s="68" t="s">
        <v>114</v>
      </c>
      <c r="C119" s="68" t="s">
        <v>38</v>
      </c>
      <c r="D119" s="68" t="s">
        <v>105</v>
      </c>
      <c r="E119" s="68" t="str">
        <f aca="false">C119&amp;D119</f>
        <v>MOBPC5</v>
      </c>
      <c r="F119" s="82" t="n">
        <v>24.343</v>
      </c>
      <c r="G119" s="59"/>
      <c r="H119" s="59"/>
      <c r="I119" s="59"/>
      <c r="J119" s="59"/>
      <c r="K119" s="72"/>
      <c r="L119" s="59"/>
      <c r="M119" s="59"/>
      <c r="N119" s="72"/>
    </row>
    <row r="120" customFormat="false" ht="15.75" hidden="false" customHeight="false" outlineLevel="0" collapsed="false">
      <c r="A120" s="80" t="n">
        <v>3</v>
      </c>
      <c r="B120" s="68" t="s">
        <v>115</v>
      </c>
      <c r="C120" s="68" t="s">
        <v>38</v>
      </c>
      <c r="D120" s="68" t="s">
        <v>106</v>
      </c>
      <c r="E120" s="68" t="str">
        <f aca="false">C120&amp;D120</f>
        <v>MOBPC6</v>
      </c>
      <c r="F120" s="82" t="n">
        <v>26.401</v>
      </c>
      <c r="G120" s="59"/>
      <c r="H120" s="59"/>
      <c r="I120" s="59"/>
      <c r="J120" s="59"/>
      <c r="K120" s="72"/>
      <c r="L120" s="59"/>
      <c r="M120" s="59"/>
      <c r="N120" s="72"/>
    </row>
    <row r="121" customFormat="false" ht="15.75" hidden="false" customHeight="false" outlineLevel="0" collapsed="false">
      <c r="A121" s="80" t="n">
        <v>3</v>
      </c>
      <c r="B121" s="68" t="s">
        <v>116</v>
      </c>
      <c r="C121" s="68" t="s">
        <v>38</v>
      </c>
      <c r="D121" s="68" t="s">
        <v>134</v>
      </c>
      <c r="E121" s="68" t="str">
        <f aca="false">C121&amp;D121</f>
        <v>MOBPC7</v>
      </c>
      <c r="F121" s="82" t="n">
        <v>23.878</v>
      </c>
      <c r="G121" s="59"/>
      <c r="H121" s="59"/>
      <c r="I121" s="59"/>
      <c r="J121" s="59"/>
      <c r="K121" s="72"/>
      <c r="L121" s="59"/>
      <c r="M121" s="59"/>
      <c r="N121" s="72"/>
    </row>
    <row r="122" customFormat="false" ht="15.75" hidden="false" customHeight="false" outlineLevel="0" collapsed="false">
      <c r="A122" s="80" t="n">
        <v>3</v>
      </c>
      <c r="B122" s="68" t="s">
        <v>117</v>
      </c>
      <c r="C122" s="68" t="s">
        <v>38</v>
      </c>
      <c r="D122" s="68" t="s">
        <v>135</v>
      </c>
      <c r="E122" s="68" t="str">
        <f aca="false">C122&amp;D122</f>
        <v>MOBPC10</v>
      </c>
      <c r="F122" s="82" t="n">
        <v>23.482</v>
      </c>
      <c r="G122" s="59"/>
      <c r="H122" s="59"/>
      <c r="I122" s="59"/>
      <c r="J122" s="59"/>
      <c r="K122" s="72"/>
      <c r="L122" s="59"/>
      <c r="M122" s="59"/>
      <c r="N122" s="72"/>
    </row>
    <row r="123" customFormat="false" ht="15.75" hidden="false" customHeight="false" outlineLevel="0" collapsed="false">
      <c r="A123" s="80" t="n">
        <v>3</v>
      </c>
      <c r="B123" s="68" t="s">
        <v>118</v>
      </c>
      <c r="C123" s="68" t="s">
        <v>38</v>
      </c>
      <c r="D123" s="68" t="s">
        <v>136</v>
      </c>
      <c r="E123" s="68" t="str">
        <f aca="false">C123&amp;D123</f>
        <v>MOBPC11</v>
      </c>
      <c r="F123" s="82" t="n">
        <v>24.78</v>
      </c>
      <c r="G123" s="59"/>
      <c r="H123" s="59"/>
      <c r="I123" s="59"/>
      <c r="J123" s="59"/>
      <c r="K123" s="72"/>
      <c r="L123" s="59"/>
      <c r="M123" s="59"/>
      <c r="N123" s="72"/>
    </row>
    <row r="124" customFormat="false" ht="15.75" hidden="false" customHeight="false" outlineLevel="0" collapsed="false">
      <c r="A124" s="80" t="n">
        <v>3</v>
      </c>
      <c r="B124" s="68" t="s">
        <v>119</v>
      </c>
      <c r="C124" s="68" t="s">
        <v>38</v>
      </c>
      <c r="D124" s="68" t="s">
        <v>137</v>
      </c>
      <c r="E124" s="68" t="str">
        <f aca="false">C124&amp;D124</f>
        <v>MOBPC12</v>
      </c>
      <c r="F124" s="82" t="n">
        <v>23.611</v>
      </c>
      <c r="G124" s="59"/>
      <c r="H124" s="59"/>
      <c r="I124" s="59"/>
      <c r="J124" s="59"/>
      <c r="K124" s="72"/>
      <c r="L124" s="59"/>
      <c r="M124" s="59"/>
      <c r="N124" s="72"/>
    </row>
    <row r="125" customFormat="false" ht="15.75" hidden="false" customHeight="false" outlineLevel="0" collapsed="false">
      <c r="A125" s="80" t="n">
        <v>3</v>
      </c>
      <c r="B125" s="68" t="s">
        <v>120</v>
      </c>
      <c r="C125" s="68" t="s">
        <v>38</v>
      </c>
      <c r="D125" s="68" t="s">
        <v>138</v>
      </c>
      <c r="E125" s="68" t="str">
        <f aca="false">C125&amp;D125</f>
        <v>MOBPV1</v>
      </c>
      <c r="F125" s="82" t="n">
        <v>24.262</v>
      </c>
      <c r="G125" s="59"/>
      <c r="H125" s="59"/>
      <c r="I125" s="59"/>
      <c r="J125" s="59"/>
      <c r="K125" s="72"/>
      <c r="L125" s="59"/>
      <c r="M125" s="59"/>
      <c r="N125" s="72"/>
    </row>
    <row r="126" customFormat="false" ht="15.75" hidden="false" customHeight="false" outlineLevel="0" collapsed="false">
      <c r="A126" s="80" t="n">
        <v>3</v>
      </c>
      <c r="B126" s="68" t="s">
        <v>121</v>
      </c>
      <c r="C126" s="68" t="s">
        <v>38</v>
      </c>
      <c r="D126" s="68" t="s">
        <v>139</v>
      </c>
      <c r="E126" s="68" t="str">
        <f aca="false">C126&amp;D126</f>
        <v>MOBPV2</v>
      </c>
      <c r="F126" s="82" t="n">
        <v>25.228</v>
      </c>
      <c r="G126" s="59"/>
      <c r="H126" s="59"/>
      <c r="I126" s="59"/>
      <c r="J126" s="59"/>
      <c r="K126" s="72"/>
      <c r="L126" s="59"/>
      <c r="M126" s="59"/>
      <c r="N126" s="72"/>
    </row>
    <row r="127" customFormat="false" ht="15.75" hidden="false" customHeight="false" outlineLevel="0" collapsed="false">
      <c r="A127" s="80" t="n">
        <v>3</v>
      </c>
      <c r="B127" s="68" t="s">
        <v>122</v>
      </c>
      <c r="C127" s="68" t="s">
        <v>38</v>
      </c>
      <c r="D127" s="68" t="s">
        <v>140</v>
      </c>
      <c r="E127" s="68" t="str">
        <f aca="false">C127&amp;D127</f>
        <v>MOBPV3</v>
      </c>
      <c r="F127" s="82" t="n">
        <v>24.565</v>
      </c>
      <c r="G127" s="59"/>
      <c r="H127" s="59"/>
      <c r="I127" s="59"/>
      <c r="J127" s="59"/>
      <c r="K127" s="72"/>
      <c r="L127" s="59"/>
      <c r="M127" s="59"/>
      <c r="N127" s="72"/>
    </row>
    <row r="128" customFormat="false" ht="15.75" hidden="false" customHeight="false" outlineLevel="0" collapsed="false">
      <c r="A128" s="80" t="n">
        <v>3</v>
      </c>
      <c r="B128" s="68" t="s">
        <v>123</v>
      </c>
      <c r="C128" s="68" t="s">
        <v>38</v>
      </c>
      <c r="D128" s="68" t="s">
        <v>141</v>
      </c>
      <c r="E128" s="68" t="str">
        <f aca="false">C128&amp;D128</f>
        <v>MOBPV4</v>
      </c>
      <c r="F128" s="82" t="n">
        <v>24.47</v>
      </c>
      <c r="G128" s="59"/>
      <c r="H128" s="59"/>
      <c r="I128" s="59"/>
      <c r="J128" s="59"/>
      <c r="K128" s="72"/>
      <c r="L128" s="59"/>
      <c r="M128" s="59"/>
      <c r="N128" s="72"/>
    </row>
    <row r="129" customFormat="false" ht="15.75" hidden="false" customHeight="false" outlineLevel="0" collapsed="false">
      <c r="A129" s="80" t="n">
        <v>3</v>
      </c>
      <c r="B129" s="68" t="s">
        <v>124</v>
      </c>
      <c r="C129" s="68" t="s">
        <v>38</v>
      </c>
      <c r="D129" s="68" t="s">
        <v>142</v>
      </c>
      <c r="E129" s="68" t="str">
        <f aca="false">C129&amp;D129</f>
        <v>MOBPV5</v>
      </c>
      <c r="F129" s="82" t="n">
        <v>24.17</v>
      </c>
      <c r="G129" s="59"/>
      <c r="H129" s="59"/>
      <c r="I129" s="59"/>
      <c r="J129" s="59"/>
      <c r="K129" s="72"/>
      <c r="L129" s="59"/>
      <c r="M129" s="59"/>
      <c r="N129" s="72"/>
    </row>
    <row r="130" customFormat="false" ht="15.75" hidden="false" customHeight="false" outlineLevel="0" collapsed="false">
      <c r="A130" s="80" t="n">
        <v>3</v>
      </c>
      <c r="B130" s="68" t="s">
        <v>125</v>
      </c>
      <c r="C130" s="68" t="s">
        <v>38</v>
      </c>
      <c r="D130" s="68" t="s">
        <v>143</v>
      </c>
      <c r="E130" s="68" t="str">
        <f aca="false">C130&amp;D130</f>
        <v>MOBPV7</v>
      </c>
      <c r="F130" s="82" t="n">
        <v>24.802</v>
      </c>
      <c r="G130" s="59"/>
      <c r="H130" s="59"/>
      <c r="I130" s="59"/>
      <c r="J130" s="59"/>
      <c r="K130" s="72"/>
      <c r="L130" s="59"/>
      <c r="M130" s="59"/>
      <c r="N130" s="72"/>
    </row>
    <row r="131" customFormat="false" ht="15.75" hidden="false" customHeight="false" outlineLevel="0" collapsed="false">
      <c r="A131" s="80" t="n">
        <v>3</v>
      </c>
      <c r="B131" s="68" t="s">
        <v>126</v>
      </c>
      <c r="C131" s="68" t="s">
        <v>38</v>
      </c>
      <c r="D131" s="68" t="s">
        <v>144</v>
      </c>
      <c r="E131" s="68" t="str">
        <f aca="false">C131&amp;D131</f>
        <v>MOBPV8</v>
      </c>
      <c r="F131" s="82" t="n">
        <v>23.936</v>
      </c>
      <c r="G131" s="59"/>
      <c r="H131" s="59"/>
      <c r="I131" s="59"/>
      <c r="J131" s="59"/>
      <c r="K131" s="72"/>
      <c r="L131" s="59"/>
      <c r="M131" s="59"/>
      <c r="N131" s="72"/>
    </row>
    <row r="132" customFormat="false" ht="15.75" hidden="false" customHeight="false" outlineLevel="0" collapsed="false">
      <c r="A132" s="80" t="n">
        <v>3</v>
      </c>
      <c r="B132" s="68" t="s">
        <v>127</v>
      </c>
      <c r="C132" s="68" t="s">
        <v>38</v>
      </c>
      <c r="D132" s="68" t="s">
        <v>145</v>
      </c>
      <c r="E132" s="68" t="str">
        <f aca="false">C132&amp;D132</f>
        <v>MOBPV10</v>
      </c>
      <c r="F132" s="82" t="n">
        <v>24.336</v>
      </c>
      <c r="G132" s="59"/>
      <c r="H132" s="59"/>
      <c r="I132" s="59"/>
      <c r="J132" s="59"/>
      <c r="K132" s="72"/>
      <c r="L132" s="59"/>
      <c r="M132" s="59"/>
      <c r="N132" s="72"/>
    </row>
    <row r="133" customFormat="false" ht="15.75" hidden="false" customHeight="false" outlineLevel="0" collapsed="false">
      <c r="A133" s="80" t="n">
        <v>3</v>
      </c>
      <c r="B133" s="68" t="s">
        <v>128</v>
      </c>
      <c r="C133" s="68" t="s">
        <v>38</v>
      </c>
      <c r="D133" s="68" t="s">
        <v>146</v>
      </c>
      <c r="E133" s="68" t="str">
        <f aca="false">C133&amp;D133</f>
        <v>MOBPV12</v>
      </c>
      <c r="F133" s="82" t="n">
        <v>25.432</v>
      </c>
      <c r="G133" s="59"/>
      <c r="H133" s="59"/>
      <c r="I133" s="59"/>
      <c r="J133" s="59"/>
      <c r="K133" s="72"/>
      <c r="L133" s="59"/>
      <c r="M133" s="59"/>
      <c r="N133" s="72"/>
    </row>
    <row r="134" customFormat="false" ht="15.75" hidden="false" customHeight="false" outlineLevel="0" collapsed="false">
      <c r="A134" s="80" t="n">
        <v>4</v>
      </c>
      <c r="B134" s="68" t="s">
        <v>80</v>
      </c>
      <c r="C134" s="68" t="s">
        <v>35</v>
      </c>
      <c r="D134" s="81" t="n">
        <v>1</v>
      </c>
      <c r="E134" s="68" t="str">
        <f aca="false">C134&amp;D134</f>
        <v>PAIPB1</v>
      </c>
      <c r="F134" s="94" t="n">
        <v>21.808</v>
      </c>
      <c r="G134" s="59"/>
      <c r="H134" s="59"/>
      <c r="I134" s="59"/>
      <c r="J134" s="59"/>
      <c r="K134" s="72"/>
      <c r="L134" s="59"/>
      <c r="M134" s="59"/>
      <c r="N134" s="72"/>
    </row>
    <row r="135" customFormat="false" ht="15.75" hidden="false" customHeight="false" outlineLevel="0" collapsed="false">
      <c r="A135" s="80" t="n">
        <v>4</v>
      </c>
      <c r="B135" s="68" t="s">
        <v>85</v>
      </c>
      <c r="C135" s="68" t="s">
        <v>35</v>
      </c>
      <c r="D135" s="81" t="n">
        <v>0.1</v>
      </c>
      <c r="E135" s="68" t="str">
        <f aca="false">C135&amp;D135</f>
        <v>PAIPB0.1</v>
      </c>
      <c r="F135" s="94" t="n">
        <v>25.059</v>
      </c>
      <c r="G135" s="59"/>
      <c r="H135" s="59"/>
      <c r="I135" s="59"/>
      <c r="J135" s="59"/>
      <c r="K135" s="72"/>
      <c r="L135" s="59"/>
      <c r="M135" s="59"/>
      <c r="N135" s="72"/>
    </row>
    <row r="136" customFormat="false" ht="15.75" hidden="false" customHeight="false" outlineLevel="0" collapsed="false">
      <c r="A136" s="80" t="n">
        <v>4</v>
      </c>
      <c r="B136" s="68" t="s">
        <v>86</v>
      </c>
      <c r="C136" s="68" t="s">
        <v>35</v>
      </c>
      <c r="D136" s="81" t="n">
        <v>0.01</v>
      </c>
      <c r="E136" s="68" t="str">
        <f aca="false">C136&amp;D136</f>
        <v>PAIPB0.01</v>
      </c>
      <c r="F136" s="94" t="n">
        <v>28.38</v>
      </c>
      <c r="G136" s="59"/>
      <c r="H136" s="59"/>
      <c r="I136" s="59"/>
      <c r="J136" s="59"/>
      <c r="K136" s="72"/>
      <c r="L136" s="59"/>
      <c r="M136" s="59"/>
      <c r="N136" s="72"/>
    </row>
    <row r="137" customFormat="false" ht="15.75" hidden="false" customHeight="false" outlineLevel="0" collapsed="false">
      <c r="A137" s="80" t="n">
        <v>4</v>
      </c>
      <c r="B137" s="68" t="s">
        <v>87</v>
      </c>
      <c r="C137" s="68" t="s">
        <v>35</v>
      </c>
      <c r="D137" s="84" t="n">
        <v>0.001</v>
      </c>
      <c r="E137" s="68" t="str">
        <f aca="false">C137&amp;D137</f>
        <v>PAIPB0.001</v>
      </c>
      <c r="F137" s="94" t="n">
        <v>31.864</v>
      </c>
      <c r="G137" s="59"/>
      <c r="H137" s="59"/>
      <c r="I137" s="59"/>
      <c r="J137" s="59"/>
      <c r="K137" s="72"/>
      <c r="L137" s="59"/>
      <c r="M137" s="59"/>
      <c r="N137" s="72"/>
    </row>
    <row r="138" customFormat="false" ht="15.75" hidden="false" customHeight="false" outlineLevel="0" collapsed="false">
      <c r="A138" s="80" t="n">
        <v>4</v>
      </c>
      <c r="B138" s="68" t="s">
        <v>89</v>
      </c>
      <c r="C138" s="68" t="s">
        <v>35</v>
      </c>
      <c r="D138" s="68" t="s">
        <v>131</v>
      </c>
      <c r="E138" s="68" t="str">
        <f aca="false">C138&amp;D138</f>
        <v>PAIPBC1</v>
      </c>
      <c r="F138" s="94" t="n">
        <v>22.893</v>
      </c>
      <c r="G138" s="59"/>
      <c r="H138" s="59"/>
      <c r="I138" s="59"/>
      <c r="J138" s="59"/>
      <c r="K138" s="72"/>
      <c r="L138" s="59"/>
      <c r="M138" s="59"/>
      <c r="N138" s="72"/>
    </row>
    <row r="139" customFormat="false" ht="15.75" hidden="false" customHeight="false" outlineLevel="0" collapsed="false">
      <c r="A139" s="80" t="n">
        <v>4</v>
      </c>
      <c r="B139" s="68" t="s">
        <v>90</v>
      </c>
      <c r="C139" s="68" t="s">
        <v>35</v>
      </c>
      <c r="D139" s="68" t="s">
        <v>132</v>
      </c>
      <c r="E139" s="68" t="str">
        <f aca="false">C139&amp;D139</f>
        <v>PAIPBC2</v>
      </c>
      <c r="F139" s="94" t="n">
        <v>22.436</v>
      </c>
      <c r="G139" s="59"/>
      <c r="H139" s="59"/>
      <c r="I139" s="59"/>
      <c r="J139" s="59"/>
      <c r="K139" s="72"/>
      <c r="L139" s="59"/>
      <c r="M139" s="59"/>
      <c r="N139" s="72"/>
    </row>
    <row r="140" customFormat="false" ht="15.75" hidden="false" customHeight="false" outlineLevel="0" collapsed="false">
      <c r="A140" s="80" t="n">
        <v>4</v>
      </c>
      <c r="B140" s="68" t="s">
        <v>91</v>
      </c>
      <c r="C140" s="68" t="s">
        <v>35</v>
      </c>
      <c r="D140" s="68" t="s">
        <v>133</v>
      </c>
      <c r="E140" s="68" t="str">
        <f aca="false">C140&amp;D140</f>
        <v>PAIPBC3</v>
      </c>
      <c r="F140" s="94" t="n">
        <v>22.742</v>
      </c>
      <c r="G140" s="59"/>
      <c r="H140" s="59"/>
      <c r="I140" s="59"/>
      <c r="J140" s="59"/>
      <c r="K140" s="72"/>
      <c r="L140" s="59"/>
      <c r="M140" s="59"/>
      <c r="N140" s="72"/>
    </row>
    <row r="141" customFormat="false" ht="15.75" hidden="false" customHeight="false" outlineLevel="0" collapsed="false">
      <c r="A141" s="80" t="n">
        <v>4</v>
      </c>
      <c r="B141" s="68" t="s">
        <v>92</v>
      </c>
      <c r="C141" s="68" t="s">
        <v>35</v>
      </c>
      <c r="D141" s="68" t="s">
        <v>105</v>
      </c>
      <c r="E141" s="68" t="str">
        <f aca="false">C141&amp;D141</f>
        <v>PAIPBC5</v>
      </c>
      <c r="F141" s="94" t="n">
        <v>23.482</v>
      </c>
      <c r="G141" s="59"/>
      <c r="H141" s="59"/>
      <c r="I141" s="59"/>
      <c r="J141" s="59"/>
      <c r="K141" s="72"/>
      <c r="L141" s="59"/>
      <c r="M141" s="59"/>
      <c r="N141" s="72"/>
    </row>
    <row r="142" customFormat="false" ht="15.75" hidden="false" customHeight="false" outlineLevel="0" collapsed="false">
      <c r="A142" s="80" t="n">
        <v>4</v>
      </c>
      <c r="B142" s="68" t="s">
        <v>93</v>
      </c>
      <c r="C142" s="68" t="s">
        <v>35</v>
      </c>
      <c r="D142" s="68" t="s">
        <v>106</v>
      </c>
      <c r="E142" s="68" t="str">
        <f aca="false">C142&amp;D142</f>
        <v>PAIPBC6</v>
      </c>
      <c r="F142" s="94" t="n">
        <v>24.942</v>
      </c>
      <c r="G142" s="59"/>
      <c r="H142" s="59"/>
      <c r="I142" s="59"/>
      <c r="J142" s="59"/>
      <c r="K142" s="72"/>
      <c r="L142" s="59"/>
      <c r="M142" s="59"/>
      <c r="N142" s="72"/>
    </row>
    <row r="143" customFormat="false" ht="15.75" hidden="false" customHeight="false" outlineLevel="0" collapsed="false">
      <c r="A143" s="80" t="n">
        <v>4</v>
      </c>
      <c r="B143" s="68" t="s">
        <v>94</v>
      </c>
      <c r="C143" s="68" t="s">
        <v>35</v>
      </c>
      <c r="D143" s="68" t="s">
        <v>134</v>
      </c>
      <c r="E143" s="68" t="str">
        <f aca="false">C143&amp;D143</f>
        <v>PAIPBC7</v>
      </c>
      <c r="F143" s="94" t="n">
        <v>22.298</v>
      </c>
      <c r="G143" s="59"/>
      <c r="H143" s="59"/>
      <c r="I143" s="59"/>
      <c r="J143" s="59"/>
      <c r="K143" s="72"/>
      <c r="L143" s="59"/>
      <c r="M143" s="59"/>
      <c r="N143" s="72"/>
    </row>
    <row r="144" customFormat="false" ht="15.75" hidden="false" customHeight="false" outlineLevel="0" collapsed="false">
      <c r="A144" s="80" t="n">
        <v>4</v>
      </c>
      <c r="B144" s="68" t="s">
        <v>95</v>
      </c>
      <c r="C144" s="68" t="s">
        <v>35</v>
      </c>
      <c r="D144" s="68" t="s">
        <v>135</v>
      </c>
      <c r="E144" s="68" t="str">
        <f aca="false">C144&amp;D144</f>
        <v>PAIPBC10</v>
      </c>
      <c r="F144" s="94" t="n">
        <v>23.168</v>
      </c>
      <c r="G144" s="59"/>
      <c r="H144" s="59"/>
      <c r="I144" s="59"/>
      <c r="J144" s="59"/>
      <c r="K144" s="72"/>
      <c r="L144" s="59"/>
      <c r="M144" s="59"/>
      <c r="N144" s="72"/>
    </row>
    <row r="145" customFormat="false" ht="15.75" hidden="false" customHeight="false" outlineLevel="0" collapsed="false">
      <c r="A145" s="80" t="n">
        <v>4</v>
      </c>
      <c r="B145" s="68" t="s">
        <v>96</v>
      </c>
      <c r="C145" s="68" t="s">
        <v>35</v>
      </c>
      <c r="D145" s="68" t="s">
        <v>136</v>
      </c>
      <c r="E145" s="68" t="str">
        <f aca="false">C145&amp;D145</f>
        <v>PAIPBC11</v>
      </c>
      <c r="F145" s="94" t="n">
        <v>23.205</v>
      </c>
      <c r="G145" s="59"/>
      <c r="H145" s="59"/>
      <c r="I145" s="59"/>
      <c r="J145" s="59"/>
      <c r="K145" s="72"/>
      <c r="L145" s="59"/>
      <c r="M145" s="59"/>
      <c r="N145" s="72"/>
    </row>
    <row r="146" customFormat="false" ht="15.75" hidden="false" customHeight="false" outlineLevel="0" collapsed="false">
      <c r="A146" s="80" t="n">
        <v>4</v>
      </c>
      <c r="B146" s="68" t="s">
        <v>97</v>
      </c>
      <c r="C146" s="68" t="s">
        <v>35</v>
      </c>
      <c r="D146" s="68" t="s">
        <v>137</v>
      </c>
      <c r="E146" s="68" t="str">
        <f aca="false">C146&amp;D146</f>
        <v>PAIPBC12</v>
      </c>
      <c r="F146" s="94" t="n">
        <v>23.213</v>
      </c>
      <c r="G146" s="59"/>
      <c r="H146" s="59"/>
      <c r="I146" s="59"/>
      <c r="J146" s="59"/>
      <c r="K146" s="72"/>
      <c r="L146" s="59"/>
      <c r="M146" s="59"/>
      <c r="N146" s="72"/>
    </row>
    <row r="147" customFormat="false" ht="15.75" hidden="false" customHeight="false" outlineLevel="0" collapsed="false">
      <c r="A147" s="80" t="n">
        <v>4</v>
      </c>
      <c r="B147" s="68" t="s">
        <v>98</v>
      </c>
      <c r="C147" s="68" t="s">
        <v>35</v>
      </c>
      <c r="D147" s="68" t="s">
        <v>138</v>
      </c>
      <c r="E147" s="68" t="str">
        <f aca="false">C147&amp;D147</f>
        <v>PAIPBV1</v>
      </c>
      <c r="F147" s="94" t="n">
        <v>23.01</v>
      </c>
      <c r="G147" s="59"/>
      <c r="H147" s="59"/>
      <c r="I147" s="59"/>
      <c r="J147" s="59"/>
      <c r="K147" s="72"/>
      <c r="L147" s="59"/>
      <c r="M147" s="59"/>
      <c r="N147" s="72"/>
    </row>
    <row r="148" customFormat="false" ht="15.75" hidden="false" customHeight="false" outlineLevel="0" collapsed="false">
      <c r="A148" s="80" t="n">
        <v>4</v>
      </c>
      <c r="B148" s="68" t="s">
        <v>99</v>
      </c>
      <c r="C148" s="68" t="s">
        <v>35</v>
      </c>
      <c r="D148" s="68" t="s">
        <v>139</v>
      </c>
      <c r="E148" s="68" t="str">
        <f aca="false">C148&amp;D148</f>
        <v>PAIPBV2</v>
      </c>
      <c r="F148" s="94" t="n">
        <v>22.655</v>
      </c>
      <c r="G148" s="59"/>
      <c r="H148" s="59"/>
      <c r="I148" s="59"/>
      <c r="J148" s="59"/>
      <c r="K148" s="72"/>
      <c r="L148" s="59"/>
      <c r="M148" s="59"/>
      <c r="N148" s="72"/>
    </row>
    <row r="149" customFormat="false" ht="15.75" hidden="false" customHeight="false" outlineLevel="0" collapsed="false">
      <c r="A149" s="80" t="n">
        <v>4</v>
      </c>
      <c r="B149" s="68" t="s">
        <v>100</v>
      </c>
      <c r="C149" s="68" t="s">
        <v>35</v>
      </c>
      <c r="D149" s="68" t="s">
        <v>140</v>
      </c>
      <c r="E149" s="68" t="str">
        <f aca="false">C149&amp;D149</f>
        <v>PAIPBV3</v>
      </c>
      <c r="F149" s="94" t="n">
        <v>22.47</v>
      </c>
      <c r="G149" s="59"/>
      <c r="H149" s="59"/>
      <c r="I149" s="59"/>
      <c r="J149" s="59"/>
      <c r="K149" s="72"/>
      <c r="L149" s="59"/>
      <c r="M149" s="59"/>
      <c r="N149" s="72"/>
    </row>
    <row r="150" customFormat="false" ht="15.75" hidden="false" customHeight="false" outlineLevel="0" collapsed="false">
      <c r="A150" s="80" t="n">
        <v>4</v>
      </c>
      <c r="B150" s="68" t="s">
        <v>101</v>
      </c>
      <c r="C150" s="68" t="s">
        <v>35</v>
      </c>
      <c r="D150" s="68" t="s">
        <v>141</v>
      </c>
      <c r="E150" s="68" t="str">
        <f aca="false">C150&amp;D150</f>
        <v>PAIPBV4</v>
      </c>
      <c r="F150" s="94" t="n">
        <v>23.017</v>
      </c>
      <c r="G150" s="59"/>
      <c r="H150" s="59"/>
      <c r="I150" s="59"/>
      <c r="J150" s="59"/>
      <c r="K150" s="72"/>
      <c r="L150" s="59"/>
      <c r="M150" s="59"/>
      <c r="N150" s="72"/>
    </row>
    <row r="151" customFormat="false" ht="15.75" hidden="false" customHeight="false" outlineLevel="0" collapsed="false">
      <c r="A151" s="80" t="n">
        <v>4</v>
      </c>
      <c r="B151" s="68" t="s">
        <v>102</v>
      </c>
      <c r="C151" s="68" t="s">
        <v>35</v>
      </c>
      <c r="D151" s="68" t="s">
        <v>142</v>
      </c>
      <c r="E151" s="68" t="str">
        <f aca="false">C151&amp;D151</f>
        <v>PAIPBV5</v>
      </c>
      <c r="F151" s="94" t="n">
        <v>21.754</v>
      </c>
      <c r="G151" s="59"/>
      <c r="H151" s="59"/>
      <c r="I151" s="59"/>
      <c r="J151" s="59"/>
      <c r="K151" s="72"/>
      <c r="L151" s="59"/>
      <c r="M151" s="59"/>
      <c r="N151" s="72"/>
    </row>
    <row r="152" customFormat="false" ht="15.75" hidden="false" customHeight="false" outlineLevel="0" collapsed="false">
      <c r="A152" s="80" t="n">
        <v>4</v>
      </c>
      <c r="B152" s="68" t="s">
        <v>103</v>
      </c>
      <c r="C152" s="68" t="s">
        <v>35</v>
      </c>
      <c r="D152" s="68" t="s">
        <v>143</v>
      </c>
      <c r="E152" s="68" t="str">
        <f aca="false">C152&amp;D152</f>
        <v>PAIPBV7</v>
      </c>
      <c r="F152" s="94" t="n">
        <v>22.535</v>
      </c>
      <c r="G152" s="59"/>
      <c r="H152" s="59"/>
      <c r="I152" s="59"/>
      <c r="J152" s="59"/>
      <c r="K152" s="72"/>
      <c r="L152" s="59"/>
      <c r="M152" s="59"/>
      <c r="N152" s="72"/>
    </row>
    <row r="153" customFormat="false" ht="15.75" hidden="false" customHeight="false" outlineLevel="0" collapsed="false">
      <c r="A153" s="80" t="n">
        <v>4</v>
      </c>
      <c r="B153" s="68" t="s">
        <v>104</v>
      </c>
      <c r="C153" s="68" t="s">
        <v>35</v>
      </c>
      <c r="D153" s="68" t="s">
        <v>144</v>
      </c>
      <c r="E153" s="68" t="str">
        <f aca="false">C153&amp;D153</f>
        <v>PAIPBV8</v>
      </c>
      <c r="F153" s="94" t="n">
        <v>22.621</v>
      </c>
      <c r="G153" s="59"/>
      <c r="H153" s="59"/>
      <c r="I153" s="59"/>
      <c r="J153" s="59"/>
      <c r="K153" s="72"/>
      <c r="L153" s="59"/>
      <c r="M153" s="59"/>
      <c r="N153" s="72"/>
    </row>
    <row r="154" customFormat="false" ht="15.75" hidden="false" customHeight="false" outlineLevel="0" collapsed="false">
      <c r="A154" s="80" t="n">
        <v>4</v>
      </c>
      <c r="B154" s="68" t="s">
        <v>105</v>
      </c>
      <c r="C154" s="68" t="s">
        <v>35</v>
      </c>
      <c r="D154" s="68" t="s">
        <v>145</v>
      </c>
      <c r="E154" s="68" t="str">
        <f aca="false">C154&amp;D154</f>
        <v>PAIPBV10</v>
      </c>
      <c r="F154" s="94" t="n">
        <v>23.228</v>
      </c>
      <c r="G154" s="59"/>
      <c r="H154" s="59"/>
      <c r="I154" s="59"/>
      <c r="J154" s="59"/>
      <c r="K154" s="72"/>
      <c r="L154" s="59"/>
      <c r="M154" s="59"/>
      <c r="N154" s="72"/>
    </row>
    <row r="155" customFormat="false" ht="15.75" hidden="false" customHeight="false" outlineLevel="0" collapsed="false">
      <c r="A155" s="80" t="n">
        <v>4</v>
      </c>
      <c r="B155" s="68" t="s">
        <v>106</v>
      </c>
      <c r="C155" s="68" t="s">
        <v>35</v>
      </c>
      <c r="D155" s="68" t="s">
        <v>146</v>
      </c>
      <c r="E155" s="68" t="str">
        <f aca="false">C155&amp;D155</f>
        <v>PAIPBV12</v>
      </c>
      <c r="F155" s="94" t="n">
        <v>23.271</v>
      </c>
      <c r="G155" s="59"/>
      <c r="H155" s="59"/>
      <c r="I155" s="59"/>
      <c r="J155" s="59"/>
      <c r="K155" s="72"/>
      <c r="L155" s="59"/>
      <c r="M155" s="59"/>
      <c r="N155" s="72"/>
    </row>
    <row r="156" customFormat="false" ht="15.75" hidden="false" customHeight="false" outlineLevel="0" collapsed="false">
      <c r="A156" s="80" t="n">
        <v>4</v>
      </c>
      <c r="B156" s="68" t="s">
        <v>107</v>
      </c>
      <c r="C156" s="68" t="s">
        <v>36</v>
      </c>
      <c r="D156" s="81" t="n">
        <v>1</v>
      </c>
      <c r="E156" s="68" t="str">
        <f aca="false">C156&amp;D156</f>
        <v>SLC27A61</v>
      </c>
      <c r="F156" s="94" t="n">
        <v>30.65</v>
      </c>
      <c r="G156" s="59"/>
      <c r="H156" s="59"/>
      <c r="I156" s="59"/>
      <c r="J156" s="59"/>
      <c r="K156" s="72"/>
      <c r="L156" s="59"/>
      <c r="M156" s="59"/>
      <c r="N156" s="72"/>
    </row>
    <row r="157" customFormat="false" ht="15.75" hidden="false" customHeight="false" outlineLevel="0" collapsed="false">
      <c r="A157" s="80" t="n">
        <v>4</v>
      </c>
      <c r="B157" s="68" t="s">
        <v>108</v>
      </c>
      <c r="C157" s="68" t="s">
        <v>36</v>
      </c>
      <c r="D157" s="81" t="n">
        <v>0.1</v>
      </c>
      <c r="E157" s="68" t="str">
        <f aca="false">C157&amp;D157</f>
        <v>SLC27A60.1</v>
      </c>
      <c r="F157" s="94" t="n">
        <v>33.799</v>
      </c>
      <c r="G157" s="59"/>
      <c r="H157" s="59"/>
      <c r="I157" s="59"/>
      <c r="J157" s="59"/>
      <c r="K157" s="72"/>
      <c r="L157" s="59"/>
      <c r="M157" s="59"/>
      <c r="N157" s="72"/>
    </row>
    <row r="158" customFormat="false" ht="15.75" hidden="false" customHeight="false" outlineLevel="0" collapsed="false">
      <c r="A158" s="80" t="n">
        <v>4</v>
      </c>
      <c r="B158" s="68" t="s">
        <v>109</v>
      </c>
      <c r="C158" s="68" t="s">
        <v>36</v>
      </c>
      <c r="D158" s="81" t="n">
        <v>0.01</v>
      </c>
      <c r="E158" s="68" t="str">
        <f aca="false">C158&amp;D158</f>
        <v>SLC27A60.01</v>
      </c>
      <c r="F158" s="94" t="n">
        <v>36.702</v>
      </c>
      <c r="G158" s="59"/>
      <c r="H158" s="59"/>
      <c r="I158" s="59"/>
      <c r="J158" s="59"/>
      <c r="K158" s="72"/>
      <c r="L158" s="59"/>
      <c r="M158" s="59"/>
      <c r="N158" s="72"/>
    </row>
    <row r="159" customFormat="false" ht="15.75" hidden="false" customHeight="false" outlineLevel="0" collapsed="false">
      <c r="A159" s="80" t="n">
        <v>4</v>
      </c>
      <c r="B159" s="68" t="s">
        <v>110</v>
      </c>
      <c r="C159" s="68" t="s">
        <v>36</v>
      </c>
      <c r="D159" s="84" t="n">
        <v>0.001</v>
      </c>
      <c r="E159" s="68" t="str">
        <f aca="false">C159&amp;D159</f>
        <v>SLC27A60.001</v>
      </c>
      <c r="F159" s="94" t="s">
        <v>88</v>
      </c>
      <c r="G159" s="59"/>
      <c r="H159" s="59"/>
      <c r="I159" s="59"/>
      <c r="J159" s="59"/>
      <c r="K159" s="72"/>
      <c r="L159" s="59"/>
      <c r="M159" s="59"/>
      <c r="N159" s="72"/>
    </row>
    <row r="160" customFormat="false" ht="15.75" hidden="false" customHeight="false" outlineLevel="0" collapsed="false">
      <c r="A160" s="80" t="n">
        <v>4</v>
      </c>
      <c r="B160" s="68" t="s">
        <v>111</v>
      </c>
      <c r="C160" s="68" t="s">
        <v>36</v>
      </c>
      <c r="D160" s="68" t="s">
        <v>131</v>
      </c>
      <c r="E160" s="68" t="str">
        <f aca="false">C160&amp;D160</f>
        <v>SLC27A6C1</v>
      </c>
      <c r="F160" s="94" t="n">
        <v>30.779</v>
      </c>
      <c r="G160" s="59"/>
      <c r="H160" s="59"/>
      <c r="I160" s="59"/>
      <c r="J160" s="59"/>
      <c r="K160" s="72"/>
      <c r="L160" s="59"/>
      <c r="M160" s="59"/>
      <c r="N160" s="72"/>
    </row>
    <row r="161" customFormat="false" ht="15.75" hidden="false" customHeight="false" outlineLevel="0" collapsed="false">
      <c r="A161" s="80" t="n">
        <v>4</v>
      </c>
      <c r="B161" s="68" t="s">
        <v>112</v>
      </c>
      <c r="C161" s="68" t="s">
        <v>36</v>
      </c>
      <c r="D161" s="68" t="s">
        <v>132</v>
      </c>
      <c r="E161" s="68" t="str">
        <f aca="false">C161&amp;D161</f>
        <v>SLC27A6C2</v>
      </c>
      <c r="F161" s="94" t="n">
        <v>30.746</v>
      </c>
      <c r="G161" s="59"/>
      <c r="H161" s="59"/>
      <c r="I161" s="59"/>
      <c r="J161" s="59"/>
      <c r="K161" s="72"/>
      <c r="L161" s="59"/>
      <c r="M161" s="59"/>
      <c r="N161" s="72"/>
    </row>
    <row r="162" customFormat="false" ht="15.75" hidden="false" customHeight="false" outlineLevel="0" collapsed="false">
      <c r="A162" s="80" t="n">
        <v>4</v>
      </c>
      <c r="B162" s="68" t="s">
        <v>113</v>
      </c>
      <c r="C162" s="68" t="s">
        <v>36</v>
      </c>
      <c r="D162" s="68" t="s">
        <v>133</v>
      </c>
      <c r="E162" s="68" t="str">
        <f aca="false">C162&amp;D162</f>
        <v>SLC27A6C3</v>
      </c>
      <c r="F162" s="94" t="n">
        <v>31.359</v>
      </c>
      <c r="G162" s="59"/>
      <c r="H162" s="59"/>
      <c r="I162" s="59"/>
      <c r="J162" s="59"/>
      <c r="K162" s="72"/>
      <c r="L162" s="59"/>
      <c r="M162" s="59"/>
      <c r="N162" s="72"/>
    </row>
    <row r="163" customFormat="false" ht="15.75" hidden="false" customHeight="false" outlineLevel="0" collapsed="false">
      <c r="A163" s="80" t="n">
        <v>4</v>
      </c>
      <c r="B163" s="68" t="s">
        <v>114</v>
      </c>
      <c r="C163" s="68" t="s">
        <v>36</v>
      </c>
      <c r="D163" s="68" t="s">
        <v>105</v>
      </c>
      <c r="E163" s="68" t="str">
        <f aca="false">C163&amp;D163</f>
        <v>SLC27A6C5</v>
      </c>
      <c r="F163" s="94" t="n">
        <v>32.103</v>
      </c>
      <c r="G163" s="59"/>
      <c r="H163" s="59"/>
      <c r="I163" s="59"/>
      <c r="J163" s="59"/>
      <c r="K163" s="72"/>
      <c r="L163" s="59"/>
      <c r="M163" s="59"/>
      <c r="N163" s="72"/>
    </row>
    <row r="164" customFormat="false" ht="15.75" hidden="false" customHeight="false" outlineLevel="0" collapsed="false">
      <c r="A164" s="80" t="n">
        <v>4</v>
      </c>
      <c r="B164" s="68" t="s">
        <v>115</v>
      </c>
      <c r="C164" s="68" t="s">
        <v>36</v>
      </c>
      <c r="D164" s="68" t="s">
        <v>106</v>
      </c>
      <c r="E164" s="68" t="str">
        <f aca="false">C164&amp;D164</f>
        <v>SLC27A6C6</v>
      </c>
      <c r="F164" s="94" t="n">
        <v>33.279</v>
      </c>
      <c r="G164" s="59"/>
      <c r="H164" s="59"/>
      <c r="I164" s="59"/>
      <c r="J164" s="59"/>
      <c r="K164" s="72"/>
      <c r="L164" s="59"/>
      <c r="M164" s="59"/>
      <c r="N164" s="72"/>
    </row>
    <row r="165" customFormat="false" ht="15.75" hidden="false" customHeight="false" outlineLevel="0" collapsed="false">
      <c r="A165" s="80" t="n">
        <v>4</v>
      </c>
      <c r="B165" s="68" t="s">
        <v>116</v>
      </c>
      <c r="C165" s="68" t="s">
        <v>36</v>
      </c>
      <c r="D165" s="68" t="s">
        <v>134</v>
      </c>
      <c r="E165" s="68" t="str">
        <f aca="false">C165&amp;D165</f>
        <v>SLC27A6C7</v>
      </c>
      <c r="F165" s="94" t="n">
        <v>31.185</v>
      </c>
      <c r="G165" s="59"/>
      <c r="H165" s="59"/>
      <c r="I165" s="59"/>
      <c r="J165" s="59"/>
      <c r="K165" s="72"/>
      <c r="L165" s="59"/>
      <c r="M165" s="59"/>
      <c r="N165" s="72"/>
    </row>
    <row r="166" customFormat="false" ht="15.75" hidden="false" customHeight="false" outlineLevel="0" collapsed="false">
      <c r="A166" s="80" t="n">
        <v>4</v>
      </c>
      <c r="B166" s="68" t="s">
        <v>117</v>
      </c>
      <c r="C166" s="68" t="s">
        <v>36</v>
      </c>
      <c r="D166" s="68" t="s">
        <v>135</v>
      </c>
      <c r="E166" s="68" t="str">
        <f aca="false">C166&amp;D166</f>
        <v>SLC27A6C10</v>
      </c>
      <c r="F166" s="94" t="n">
        <v>31.187</v>
      </c>
      <c r="G166" s="59"/>
      <c r="H166" s="59"/>
      <c r="I166" s="59"/>
      <c r="J166" s="59"/>
      <c r="K166" s="72"/>
      <c r="L166" s="59"/>
      <c r="M166" s="59"/>
      <c r="N166" s="72"/>
    </row>
    <row r="167" customFormat="false" ht="15.75" hidden="false" customHeight="false" outlineLevel="0" collapsed="false">
      <c r="A167" s="80" t="n">
        <v>4</v>
      </c>
      <c r="B167" s="68" t="s">
        <v>118</v>
      </c>
      <c r="C167" s="68" t="s">
        <v>36</v>
      </c>
      <c r="D167" s="68" t="s">
        <v>136</v>
      </c>
      <c r="E167" s="68" t="str">
        <f aca="false">C167&amp;D167</f>
        <v>SLC27A6C11</v>
      </c>
      <c r="F167" s="94" t="n">
        <v>31.809</v>
      </c>
      <c r="G167" s="59"/>
      <c r="H167" s="59"/>
      <c r="I167" s="59"/>
      <c r="J167" s="59"/>
      <c r="K167" s="72"/>
      <c r="L167" s="59"/>
      <c r="M167" s="59"/>
      <c r="N167" s="72"/>
    </row>
    <row r="168" customFormat="false" ht="15.75" hidden="false" customHeight="false" outlineLevel="0" collapsed="false">
      <c r="A168" s="80" t="n">
        <v>4</v>
      </c>
      <c r="B168" s="68" t="s">
        <v>119</v>
      </c>
      <c r="C168" s="68" t="s">
        <v>36</v>
      </c>
      <c r="D168" s="68" t="s">
        <v>137</v>
      </c>
      <c r="E168" s="68" t="str">
        <f aca="false">C168&amp;D168</f>
        <v>SLC27A6C12</v>
      </c>
      <c r="F168" s="94" t="n">
        <v>31.469</v>
      </c>
      <c r="G168" s="59"/>
      <c r="H168" s="59"/>
      <c r="I168" s="59"/>
      <c r="J168" s="59"/>
      <c r="K168" s="72"/>
      <c r="L168" s="59"/>
      <c r="M168" s="59"/>
      <c r="N168" s="72"/>
    </row>
    <row r="169" customFormat="false" ht="15.75" hidden="false" customHeight="false" outlineLevel="0" collapsed="false">
      <c r="A169" s="80" t="n">
        <v>4</v>
      </c>
      <c r="B169" s="68" t="s">
        <v>120</v>
      </c>
      <c r="C169" s="68" t="s">
        <v>36</v>
      </c>
      <c r="D169" s="68" t="s">
        <v>138</v>
      </c>
      <c r="E169" s="68" t="str">
        <f aca="false">C169&amp;D169</f>
        <v>SLC27A6V1</v>
      </c>
      <c r="F169" s="94" t="n">
        <v>31.498</v>
      </c>
      <c r="G169" s="59"/>
      <c r="H169" s="59"/>
      <c r="I169" s="59"/>
      <c r="J169" s="59"/>
      <c r="K169" s="72"/>
      <c r="L169" s="59"/>
      <c r="M169" s="59"/>
      <c r="N169" s="72"/>
    </row>
    <row r="170" customFormat="false" ht="15.75" hidden="false" customHeight="false" outlineLevel="0" collapsed="false">
      <c r="A170" s="80" t="n">
        <v>4</v>
      </c>
      <c r="B170" s="68" t="s">
        <v>121</v>
      </c>
      <c r="C170" s="68" t="s">
        <v>36</v>
      </c>
      <c r="D170" s="68" t="s">
        <v>139</v>
      </c>
      <c r="E170" s="68" t="str">
        <f aca="false">C170&amp;D170</f>
        <v>SLC27A6V2</v>
      </c>
      <c r="F170" s="94" t="n">
        <v>31.662</v>
      </c>
      <c r="G170" s="59"/>
      <c r="H170" s="59"/>
      <c r="I170" s="59"/>
      <c r="J170" s="59"/>
      <c r="K170" s="72"/>
      <c r="L170" s="59"/>
      <c r="M170" s="59"/>
      <c r="N170" s="72"/>
    </row>
    <row r="171" customFormat="false" ht="15.75" hidden="false" customHeight="false" outlineLevel="0" collapsed="false">
      <c r="A171" s="80" t="n">
        <v>4</v>
      </c>
      <c r="B171" s="68" t="s">
        <v>122</v>
      </c>
      <c r="C171" s="68" t="s">
        <v>36</v>
      </c>
      <c r="D171" s="68" t="s">
        <v>140</v>
      </c>
      <c r="E171" s="68" t="str">
        <f aca="false">C171&amp;D171</f>
        <v>SLC27A6V3</v>
      </c>
      <c r="F171" s="94" t="n">
        <v>31.102</v>
      </c>
      <c r="G171" s="59"/>
      <c r="H171" s="59"/>
      <c r="I171" s="59"/>
      <c r="J171" s="59"/>
      <c r="K171" s="72"/>
      <c r="L171" s="59"/>
      <c r="M171" s="59"/>
      <c r="N171" s="72"/>
    </row>
    <row r="172" customFormat="false" ht="15.75" hidden="false" customHeight="false" outlineLevel="0" collapsed="false">
      <c r="A172" s="80" t="n">
        <v>4</v>
      </c>
      <c r="B172" s="68" t="s">
        <v>123</v>
      </c>
      <c r="C172" s="68" t="s">
        <v>36</v>
      </c>
      <c r="D172" s="68" t="s">
        <v>141</v>
      </c>
      <c r="E172" s="68" t="str">
        <f aca="false">C172&amp;D172</f>
        <v>SLC27A6V4</v>
      </c>
      <c r="F172" s="94" t="n">
        <v>31.785</v>
      </c>
      <c r="G172" s="59"/>
      <c r="H172" s="59"/>
      <c r="I172" s="59"/>
      <c r="J172" s="59"/>
      <c r="K172" s="72"/>
      <c r="L172" s="59"/>
      <c r="M172" s="59"/>
      <c r="N172" s="72"/>
    </row>
    <row r="173" customFormat="false" ht="15.75" hidden="false" customHeight="false" outlineLevel="0" collapsed="false">
      <c r="A173" s="80" t="n">
        <v>4</v>
      </c>
      <c r="B173" s="68" t="s">
        <v>124</v>
      </c>
      <c r="C173" s="68" t="s">
        <v>36</v>
      </c>
      <c r="D173" s="68" t="s">
        <v>142</v>
      </c>
      <c r="E173" s="68" t="str">
        <f aca="false">C173&amp;D173</f>
        <v>SLC27A6V5</v>
      </c>
      <c r="F173" s="94" t="n">
        <v>30.372</v>
      </c>
      <c r="G173" s="59"/>
      <c r="H173" s="59"/>
      <c r="I173" s="59"/>
      <c r="J173" s="59"/>
      <c r="K173" s="72"/>
      <c r="L173" s="59"/>
      <c r="M173" s="59"/>
      <c r="N173" s="72"/>
    </row>
    <row r="174" customFormat="false" ht="15.75" hidden="false" customHeight="false" outlineLevel="0" collapsed="false">
      <c r="A174" s="80" t="n">
        <v>4</v>
      </c>
      <c r="B174" s="68" t="s">
        <v>125</v>
      </c>
      <c r="C174" s="68" t="s">
        <v>36</v>
      </c>
      <c r="D174" s="68" t="s">
        <v>143</v>
      </c>
      <c r="E174" s="68" t="str">
        <f aca="false">C174&amp;D174</f>
        <v>SLC27A6V7</v>
      </c>
      <c r="F174" s="94" t="n">
        <v>31.289</v>
      </c>
      <c r="G174" s="59"/>
      <c r="H174" s="59"/>
      <c r="I174" s="59"/>
      <c r="J174" s="59"/>
      <c r="K174" s="72"/>
      <c r="L174" s="59"/>
      <c r="M174" s="59"/>
      <c r="N174" s="72"/>
    </row>
    <row r="175" customFormat="false" ht="15.75" hidden="false" customHeight="false" outlineLevel="0" collapsed="false">
      <c r="A175" s="80" t="n">
        <v>4</v>
      </c>
      <c r="B175" s="68" t="s">
        <v>126</v>
      </c>
      <c r="C175" s="68" t="s">
        <v>36</v>
      </c>
      <c r="D175" s="68" t="s">
        <v>144</v>
      </c>
      <c r="E175" s="68" t="str">
        <f aca="false">C175&amp;D175</f>
        <v>SLC27A6V8</v>
      </c>
      <c r="F175" s="94" t="n">
        <v>33.594</v>
      </c>
      <c r="G175" s="59"/>
      <c r="H175" s="59"/>
      <c r="I175" s="59"/>
      <c r="J175" s="59"/>
      <c r="K175" s="72"/>
      <c r="L175" s="59"/>
      <c r="M175" s="59"/>
      <c r="N175" s="72"/>
    </row>
    <row r="176" customFormat="false" ht="15.75" hidden="false" customHeight="false" outlineLevel="0" collapsed="false">
      <c r="A176" s="80" t="n">
        <v>4</v>
      </c>
      <c r="B176" s="68" t="s">
        <v>127</v>
      </c>
      <c r="C176" s="68" t="s">
        <v>36</v>
      </c>
      <c r="D176" s="68" t="s">
        <v>145</v>
      </c>
      <c r="E176" s="68" t="str">
        <f aca="false">C176&amp;D176</f>
        <v>SLC27A6V10</v>
      </c>
      <c r="F176" s="94" t="n">
        <v>31.86</v>
      </c>
      <c r="G176" s="59"/>
      <c r="H176" s="59"/>
      <c r="I176" s="59"/>
      <c r="J176" s="59"/>
      <c r="K176" s="72"/>
      <c r="L176" s="59"/>
      <c r="M176" s="59"/>
      <c r="N176" s="72"/>
    </row>
    <row r="177" customFormat="false" ht="15.75" hidden="false" customHeight="false" outlineLevel="0" collapsed="false">
      <c r="A177" s="80" t="n">
        <v>4</v>
      </c>
      <c r="B177" s="68" t="s">
        <v>128</v>
      </c>
      <c r="C177" s="68" t="s">
        <v>36</v>
      </c>
      <c r="D177" s="68" t="s">
        <v>146</v>
      </c>
      <c r="E177" s="68" t="str">
        <f aca="false">C177&amp;D177</f>
        <v>SLC27A6V12</v>
      </c>
      <c r="F177" s="94" t="n">
        <v>32.264</v>
      </c>
      <c r="G177" s="59"/>
      <c r="H177" s="59"/>
      <c r="I177" s="59"/>
      <c r="J177" s="59"/>
      <c r="K177" s="72"/>
      <c r="L177" s="59"/>
      <c r="M177" s="59"/>
      <c r="N177" s="72"/>
    </row>
    <row r="178" customFormat="false" ht="15.75" hidden="false" customHeight="false" outlineLevel="0" collapsed="false">
      <c r="A178" s="80" t="n">
        <v>5</v>
      </c>
      <c r="B178" s="68" t="s">
        <v>80</v>
      </c>
      <c r="C178" s="68" t="s">
        <v>39</v>
      </c>
      <c r="D178" s="81" t="n">
        <v>1</v>
      </c>
      <c r="E178" s="68" t="str">
        <f aca="false">C178&amp;D178</f>
        <v>MBP1</v>
      </c>
      <c r="F178" s="82" t="n">
        <v>18.982</v>
      </c>
      <c r="G178" s="59"/>
      <c r="H178" s="59"/>
      <c r="I178" s="59"/>
      <c r="J178" s="59"/>
      <c r="K178" s="72"/>
      <c r="L178" s="59"/>
      <c r="M178" s="59"/>
      <c r="N178" s="72"/>
    </row>
    <row r="179" customFormat="false" ht="15.75" hidden="false" customHeight="false" outlineLevel="0" collapsed="false">
      <c r="A179" s="80" t="n">
        <v>5</v>
      </c>
      <c r="B179" s="68" t="s">
        <v>85</v>
      </c>
      <c r="C179" s="68" t="s">
        <v>39</v>
      </c>
      <c r="D179" s="81" t="n">
        <v>0.1</v>
      </c>
      <c r="E179" s="68" t="str">
        <f aca="false">C179&amp;D179</f>
        <v>MBP0.1</v>
      </c>
      <c r="F179" s="82" t="n">
        <v>22.236</v>
      </c>
      <c r="G179" s="59"/>
      <c r="H179" s="59"/>
      <c r="I179" s="59"/>
      <c r="J179" s="59"/>
      <c r="K179" s="72"/>
      <c r="L179" s="59"/>
      <c r="M179" s="59"/>
      <c r="N179" s="72"/>
    </row>
    <row r="180" customFormat="false" ht="15.75" hidden="false" customHeight="false" outlineLevel="0" collapsed="false">
      <c r="A180" s="80" t="n">
        <v>5</v>
      </c>
      <c r="B180" s="68" t="s">
        <v>86</v>
      </c>
      <c r="C180" s="68" t="s">
        <v>39</v>
      </c>
      <c r="D180" s="81" t="n">
        <v>0.01</v>
      </c>
      <c r="E180" s="68" t="str">
        <f aca="false">C180&amp;D180</f>
        <v>MBP0.01</v>
      </c>
      <c r="F180" s="82" t="n">
        <v>25.674</v>
      </c>
      <c r="G180" s="59"/>
      <c r="H180" s="59"/>
      <c r="I180" s="59"/>
      <c r="J180" s="59"/>
      <c r="K180" s="72"/>
      <c r="L180" s="59"/>
      <c r="M180" s="59"/>
      <c r="N180" s="72"/>
    </row>
    <row r="181" customFormat="false" ht="15.75" hidden="false" customHeight="false" outlineLevel="0" collapsed="false">
      <c r="A181" s="80" t="n">
        <v>5</v>
      </c>
      <c r="B181" s="68" t="s">
        <v>87</v>
      </c>
      <c r="C181" s="68" t="s">
        <v>39</v>
      </c>
      <c r="D181" s="84" t="n">
        <v>0.001</v>
      </c>
      <c r="E181" s="68" t="str">
        <f aca="false">C181&amp;D181</f>
        <v>MBP0.001</v>
      </c>
      <c r="F181" s="82" t="n">
        <v>28.841</v>
      </c>
      <c r="G181" s="59"/>
      <c r="H181" s="59"/>
      <c r="I181" s="59"/>
      <c r="J181" s="59"/>
      <c r="K181" s="72"/>
      <c r="L181" s="59"/>
      <c r="M181" s="59"/>
      <c r="N181" s="72"/>
    </row>
    <row r="182" customFormat="false" ht="15.75" hidden="false" customHeight="false" outlineLevel="0" collapsed="false">
      <c r="A182" s="80" t="n">
        <v>5</v>
      </c>
      <c r="B182" s="68" t="s">
        <v>89</v>
      </c>
      <c r="C182" s="68" t="s">
        <v>39</v>
      </c>
      <c r="D182" s="68" t="s">
        <v>131</v>
      </c>
      <c r="E182" s="68" t="str">
        <f aca="false">C182&amp;D182</f>
        <v>MBPC1</v>
      </c>
      <c r="F182" s="82" t="n">
        <v>19.567</v>
      </c>
      <c r="G182" s="59"/>
      <c r="H182" s="59"/>
      <c r="I182" s="59"/>
      <c r="J182" s="59"/>
      <c r="K182" s="72"/>
      <c r="L182" s="59"/>
      <c r="M182" s="59"/>
      <c r="N182" s="72"/>
    </row>
    <row r="183" customFormat="false" ht="15.75" hidden="false" customHeight="false" outlineLevel="0" collapsed="false">
      <c r="A183" s="80" t="n">
        <v>5</v>
      </c>
      <c r="B183" s="68" t="s">
        <v>90</v>
      </c>
      <c r="C183" s="68" t="s">
        <v>39</v>
      </c>
      <c r="D183" s="68" t="s">
        <v>132</v>
      </c>
      <c r="E183" s="68" t="str">
        <f aca="false">C183&amp;D183</f>
        <v>MBPC2</v>
      </c>
      <c r="F183" s="82" t="n">
        <v>20.192</v>
      </c>
      <c r="G183" s="59"/>
      <c r="H183" s="59"/>
      <c r="I183" s="59"/>
      <c r="J183" s="59"/>
      <c r="K183" s="72"/>
      <c r="L183" s="59"/>
      <c r="M183" s="59"/>
      <c r="N183" s="72"/>
    </row>
    <row r="184" customFormat="false" ht="15.75" hidden="false" customHeight="false" outlineLevel="0" collapsed="false">
      <c r="A184" s="80" t="n">
        <v>5</v>
      </c>
      <c r="B184" s="68" t="s">
        <v>91</v>
      </c>
      <c r="C184" s="68" t="s">
        <v>39</v>
      </c>
      <c r="D184" s="68" t="s">
        <v>133</v>
      </c>
      <c r="E184" s="68" t="str">
        <f aca="false">C184&amp;D184</f>
        <v>MBPC3</v>
      </c>
      <c r="F184" s="82" t="n">
        <v>19.47</v>
      </c>
      <c r="G184" s="59"/>
      <c r="H184" s="59"/>
      <c r="I184" s="59"/>
      <c r="J184" s="59"/>
      <c r="K184" s="72"/>
      <c r="L184" s="59"/>
      <c r="M184" s="59"/>
      <c r="N184" s="72"/>
    </row>
    <row r="185" customFormat="false" ht="15.75" hidden="false" customHeight="false" outlineLevel="0" collapsed="false">
      <c r="A185" s="80" t="n">
        <v>5</v>
      </c>
      <c r="B185" s="68" t="s">
        <v>92</v>
      </c>
      <c r="C185" s="68" t="s">
        <v>39</v>
      </c>
      <c r="D185" s="68" t="s">
        <v>105</v>
      </c>
      <c r="E185" s="68" t="str">
        <f aca="false">C185&amp;D185</f>
        <v>MBPC5</v>
      </c>
      <c r="F185" s="82" t="n">
        <v>20.363</v>
      </c>
      <c r="G185" s="59"/>
      <c r="H185" s="59"/>
      <c r="I185" s="59"/>
      <c r="J185" s="59"/>
      <c r="K185" s="72"/>
      <c r="L185" s="59"/>
      <c r="M185" s="59"/>
      <c r="N185" s="72"/>
    </row>
    <row r="186" customFormat="false" ht="15.75" hidden="false" customHeight="false" outlineLevel="0" collapsed="false">
      <c r="A186" s="80" t="n">
        <v>5</v>
      </c>
      <c r="B186" s="68" t="s">
        <v>93</v>
      </c>
      <c r="C186" s="68" t="s">
        <v>39</v>
      </c>
      <c r="D186" s="68" t="s">
        <v>106</v>
      </c>
      <c r="E186" s="68" t="str">
        <f aca="false">C186&amp;D186</f>
        <v>MBPC6</v>
      </c>
      <c r="F186" s="82" t="n">
        <v>20.287</v>
      </c>
      <c r="G186" s="59"/>
      <c r="H186" s="59"/>
      <c r="I186" s="59"/>
      <c r="J186" s="59"/>
      <c r="K186" s="72"/>
      <c r="L186" s="59"/>
      <c r="M186" s="59"/>
      <c r="N186" s="72"/>
    </row>
    <row r="187" customFormat="false" ht="15.75" hidden="false" customHeight="false" outlineLevel="0" collapsed="false">
      <c r="A187" s="80" t="n">
        <v>5</v>
      </c>
      <c r="B187" s="68" t="s">
        <v>94</v>
      </c>
      <c r="C187" s="68" t="s">
        <v>39</v>
      </c>
      <c r="D187" s="68" t="s">
        <v>134</v>
      </c>
      <c r="E187" s="68" t="str">
        <f aca="false">C187&amp;D187</f>
        <v>MBPC7</v>
      </c>
      <c r="F187" s="82" t="n">
        <v>19.306</v>
      </c>
      <c r="G187" s="59"/>
      <c r="H187" s="59"/>
      <c r="I187" s="59"/>
      <c r="J187" s="59"/>
      <c r="K187" s="72"/>
      <c r="L187" s="59"/>
      <c r="M187" s="59"/>
      <c r="N187" s="72"/>
    </row>
    <row r="188" customFormat="false" ht="15.75" hidden="false" customHeight="false" outlineLevel="0" collapsed="false">
      <c r="A188" s="80" t="n">
        <v>5</v>
      </c>
      <c r="B188" s="68" t="s">
        <v>95</v>
      </c>
      <c r="C188" s="68" t="s">
        <v>39</v>
      </c>
      <c r="D188" s="68" t="s">
        <v>135</v>
      </c>
      <c r="E188" s="68" t="str">
        <f aca="false">C188&amp;D188</f>
        <v>MBPC10</v>
      </c>
      <c r="F188" s="82" t="n">
        <v>19.689</v>
      </c>
      <c r="G188" s="59"/>
      <c r="H188" s="59"/>
      <c r="I188" s="59"/>
      <c r="J188" s="59"/>
      <c r="K188" s="72"/>
      <c r="L188" s="59"/>
      <c r="M188" s="59"/>
      <c r="N188" s="72"/>
    </row>
    <row r="189" customFormat="false" ht="15.75" hidden="false" customHeight="false" outlineLevel="0" collapsed="false">
      <c r="A189" s="80" t="n">
        <v>5</v>
      </c>
      <c r="B189" s="68" t="s">
        <v>96</v>
      </c>
      <c r="C189" s="68" t="s">
        <v>39</v>
      </c>
      <c r="D189" s="68" t="s">
        <v>136</v>
      </c>
      <c r="E189" s="68" t="str">
        <f aca="false">C189&amp;D189</f>
        <v>MBPC11</v>
      </c>
      <c r="F189" s="82" t="n">
        <v>20.081</v>
      </c>
      <c r="G189" s="59"/>
      <c r="H189" s="59"/>
      <c r="I189" s="59"/>
      <c r="J189" s="59"/>
      <c r="K189" s="72"/>
      <c r="L189" s="59"/>
      <c r="M189" s="59"/>
      <c r="N189" s="72"/>
    </row>
    <row r="190" customFormat="false" ht="15.75" hidden="false" customHeight="false" outlineLevel="0" collapsed="false">
      <c r="A190" s="80" t="n">
        <v>5</v>
      </c>
      <c r="B190" s="68" t="s">
        <v>97</v>
      </c>
      <c r="C190" s="68" t="s">
        <v>39</v>
      </c>
      <c r="D190" s="68" t="s">
        <v>137</v>
      </c>
      <c r="E190" s="68" t="str">
        <f aca="false">C190&amp;D190</f>
        <v>MBPC12</v>
      </c>
      <c r="F190" s="82" t="n">
        <v>19.758</v>
      </c>
      <c r="G190" s="59"/>
      <c r="H190" s="59"/>
      <c r="I190" s="59"/>
      <c r="J190" s="59"/>
      <c r="K190" s="72"/>
      <c r="L190" s="59"/>
      <c r="M190" s="59"/>
      <c r="N190" s="72"/>
    </row>
    <row r="191" customFormat="false" ht="15.75" hidden="false" customHeight="false" outlineLevel="0" collapsed="false">
      <c r="A191" s="80" t="n">
        <v>5</v>
      </c>
      <c r="B191" s="68" t="s">
        <v>98</v>
      </c>
      <c r="C191" s="68" t="s">
        <v>39</v>
      </c>
      <c r="D191" s="68" t="s">
        <v>138</v>
      </c>
      <c r="E191" s="68" t="str">
        <f aca="false">C191&amp;D191</f>
        <v>MBPV1</v>
      </c>
      <c r="F191" s="82" t="n">
        <v>20.131</v>
      </c>
      <c r="G191" s="59"/>
      <c r="H191" s="59"/>
      <c r="I191" s="59"/>
      <c r="J191" s="59"/>
      <c r="K191" s="72"/>
      <c r="L191" s="59"/>
      <c r="M191" s="59"/>
      <c r="N191" s="72"/>
    </row>
    <row r="192" customFormat="false" ht="15.75" hidden="false" customHeight="false" outlineLevel="0" collapsed="false">
      <c r="A192" s="80" t="n">
        <v>5</v>
      </c>
      <c r="B192" s="68" t="s">
        <v>99</v>
      </c>
      <c r="C192" s="68" t="s">
        <v>39</v>
      </c>
      <c r="D192" s="68" t="s">
        <v>139</v>
      </c>
      <c r="E192" s="68" t="str">
        <f aca="false">C192&amp;D192</f>
        <v>MBPV2</v>
      </c>
      <c r="F192" s="82" t="n">
        <v>20.695</v>
      </c>
      <c r="G192" s="59"/>
      <c r="H192" s="59"/>
      <c r="I192" s="59"/>
      <c r="J192" s="59"/>
      <c r="K192" s="72"/>
      <c r="L192" s="59"/>
      <c r="M192" s="59"/>
      <c r="N192" s="72"/>
    </row>
    <row r="193" customFormat="false" ht="15.75" hidden="false" customHeight="false" outlineLevel="0" collapsed="false">
      <c r="A193" s="80" t="n">
        <v>5</v>
      </c>
      <c r="B193" s="68" t="s">
        <v>100</v>
      </c>
      <c r="C193" s="68" t="s">
        <v>39</v>
      </c>
      <c r="D193" s="68" t="s">
        <v>140</v>
      </c>
      <c r="E193" s="68" t="str">
        <f aca="false">C193&amp;D193</f>
        <v>MBPV3</v>
      </c>
      <c r="F193" s="82" t="n">
        <v>20.785</v>
      </c>
      <c r="G193" s="59"/>
      <c r="H193" s="59"/>
      <c r="I193" s="59"/>
      <c r="J193" s="59"/>
      <c r="K193" s="72"/>
      <c r="L193" s="59"/>
      <c r="M193" s="59"/>
      <c r="N193" s="72"/>
    </row>
    <row r="194" customFormat="false" ht="15.75" hidden="false" customHeight="false" outlineLevel="0" collapsed="false">
      <c r="A194" s="80" t="n">
        <v>5</v>
      </c>
      <c r="B194" s="68" t="s">
        <v>101</v>
      </c>
      <c r="C194" s="68" t="s">
        <v>39</v>
      </c>
      <c r="D194" s="68" t="s">
        <v>141</v>
      </c>
      <c r="E194" s="68" t="str">
        <f aca="false">C194&amp;D194</f>
        <v>MBPV4</v>
      </c>
      <c r="F194" s="82" t="n">
        <v>20.016</v>
      </c>
      <c r="G194" s="59"/>
      <c r="H194" s="59"/>
      <c r="I194" s="59"/>
      <c r="J194" s="59"/>
      <c r="K194" s="72"/>
      <c r="L194" s="59"/>
      <c r="M194" s="59"/>
      <c r="N194" s="72"/>
    </row>
    <row r="195" customFormat="false" ht="15.75" hidden="false" customHeight="false" outlineLevel="0" collapsed="false">
      <c r="A195" s="80" t="n">
        <v>5</v>
      </c>
      <c r="B195" s="68" t="s">
        <v>102</v>
      </c>
      <c r="C195" s="68" t="s">
        <v>39</v>
      </c>
      <c r="D195" s="68" t="s">
        <v>142</v>
      </c>
      <c r="E195" s="68" t="str">
        <f aca="false">C195&amp;D195</f>
        <v>MBPV5</v>
      </c>
      <c r="F195" s="82" t="n">
        <v>19.222</v>
      </c>
      <c r="G195" s="59"/>
      <c r="H195" s="59"/>
      <c r="I195" s="59"/>
      <c r="J195" s="59"/>
      <c r="K195" s="72"/>
      <c r="L195" s="59"/>
      <c r="M195" s="59"/>
      <c r="N195" s="72"/>
    </row>
    <row r="196" customFormat="false" ht="15.75" hidden="false" customHeight="false" outlineLevel="0" collapsed="false">
      <c r="A196" s="80" t="n">
        <v>5</v>
      </c>
      <c r="B196" s="68" t="s">
        <v>103</v>
      </c>
      <c r="C196" s="68" t="s">
        <v>39</v>
      </c>
      <c r="D196" s="68" t="s">
        <v>143</v>
      </c>
      <c r="E196" s="68" t="str">
        <f aca="false">C196&amp;D196</f>
        <v>MBPV7</v>
      </c>
      <c r="F196" s="82" t="n">
        <v>20.385</v>
      </c>
      <c r="G196" s="59"/>
      <c r="H196" s="59"/>
      <c r="I196" s="59"/>
      <c r="J196" s="59"/>
      <c r="K196" s="72"/>
      <c r="L196" s="59"/>
      <c r="M196" s="59"/>
      <c r="N196" s="72"/>
    </row>
    <row r="197" customFormat="false" ht="15.75" hidden="false" customHeight="false" outlineLevel="0" collapsed="false">
      <c r="A197" s="80" t="n">
        <v>5</v>
      </c>
      <c r="B197" s="68" t="s">
        <v>104</v>
      </c>
      <c r="C197" s="68" t="s">
        <v>39</v>
      </c>
      <c r="D197" s="68" t="s">
        <v>144</v>
      </c>
      <c r="E197" s="68" t="str">
        <f aca="false">C197&amp;D197</f>
        <v>MBPV8</v>
      </c>
      <c r="F197" s="82" t="n">
        <v>19.538</v>
      </c>
      <c r="G197" s="59"/>
      <c r="H197" s="59"/>
      <c r="I197" s="59"/>
      <c r="J197" s="59"/>
      <c r="K197" s="72"/>
      <c r="L197" s="59"/>
      <c r="M197" s="59"/>
      <c r="N197" s="72"/>
    </row>
    <row r="198" customFormat="false" ht="15.75" hidden="false" customHeight="false" outlineLevel="0" collapsed="false">
      <c r="A198" s="80" t="n">
        <v>5</v>
      </c>
      <c r="B198" s="68" t="s">
        <v>105</v>
      </c>
      <c r="C198" s="68" t="s">
        <v>39</v>
      </c>
      <c r="D198" s="68" t="s">
        <v>145</v>
      </c>
      <c r="E198" s="68" t="str">
        <f aca="false">C198&amp;D198</f>
        <v>MBPV10</v>
      </c>
      <c r="F198" s="82" t="n">
        <v>19.911</v>
      </c>
      <c r="G198" s="59"/>
      <c r="H198" s="59"/>
      <c r="I198" s="59"/>
      <c r="J198" s="59"/>
      <c r="K198" s="72"/>
      <c r="L198" s="59"/>
      <c r="M198" s="59"/>
      <c r="N198" s="72"/>
    </row>
    <row r="199" customFormat="false" ht="15.75" hidden="false" customHeight="false" outlineLevel="0" collapsed="false">
      <c r="A199" s="80" t="n">
        <v>5</v>
      </c>
      <c r="B199" s="68" t="s">
        <v>106</v>
      </c>
      <c r="C199" s="68" t="s">
        <v>39</v>
      </c>
      <c r="D199" s="68" t="s">
        <v>146</v>
      </c>
      <c r="E199" s="68" t="str">
        <f aca="false">C199&amp;D199</f>
        <v>MBPV12</v>
      </c>
      <c r="F199" s="82" t="n">
        <v>20.931</v>
      </c>
      <c r="G199" s="59"/>
      <c r="H199" s="59"/>
      <c r="I199" s="59"/>
      <c r="J199" s="59"/>
      <c r="K199" s="72"/>
      <c r="L199" s="59"/>
      <c r="M199" s="59"/>
      <c r="N199" s="72"/>
    </row>
    <row r="200" customFormat="false" ht="15.75" hidden="false" customHeight="false" outlineLevel="0" collapsed="false">
      <c r="A200" s="80" t="n">
        <v>5</v>
      </c>
      <c r="B200" s="68" t="s">
        <v>107</v>
      </c>
      <c r="C200" s="68" t="s">
        <v>40</v>
      </c>
      <c r="D200" s="81" t="n">
        <v>1</v>
      </c>
      <c r="E200" s="68" t="str">
        <f aca="false">C200&amp;D200</f>
        <v>COL1A11</v>
      </c>
      <c r="F200" s="82" t="n">
        <v>26.243</v>
      </c>
      <c r="G200" s="59"/>
      <c r="H200" s="59"/>
      <c r="I200" s="59"/>
      <c r="J200" s="59"/>
      <c r="K200" s="72"/>
      <c r="L200" s="59"/>
      <c r="M200" s="59"/>
      <c r="N200" s="72"/>
    </row>
    <row r="201" customFormat="false" ht="15.75" hidden="false" customHeight="false" outlineLevel="0" collapsed="false">
      <c r="A201" s="80" t="n">
        <v>5</v>
      </c>
      <c r="B201" s="68" t="s">
        <v>108</v>
      </c>
      <c r="C201" s="68" t="s">
        <v>40</v>
      </c>
      <c r="D201" s="81" t="n">
        <v>0.1</v>
      </c>
      <c r="E201" s="68" t="str">
        <f aca="false">C201&amp;D201</f>
        <v>COL1A10.1</v>
      </c>
      <c r="F201" s="82" t="n">
        <v>28.18</v>
      </c>
      <c r="G201" s="59"/>
      <c r="H201" s="59"/>
      <c r="I201" s="59"/>
      <c r="J201" s="59"/>
      <c r="K201" s="72"/>
      <c r="L201" s="59"/>
      <c r="M201" s="59"/>
      <c r="N201" s="72"/>
    </row>
    <row r="202" customFormat="false" ht="15.75" hidden="false" customHeight="false" outlineLevel="0" collapsed="false">
      <c r="A202" s="80" t="n">
        <v>5</v>
      </c>
      <c r="B202" s="68" t="s">
        <v>109</v>
      </c>
      <c r="C202" s="68" t="s">
        <v>40</v>
      </c>
      <c r="D202" s="81" t="n">
        <v>0.01</v>
      </c>
      <c r="E202" s="68" t="str">
        <f aca="false">C202&amp;D202</f>
        <v>COL1A10.01</v>
      </c>
      <c r="F202" s="82" t="n">
        <v>31.688</v>
      </c>
      <c r="G202" s="59"/>
      <c r="H202" s="59"/>
      <c r="I202" s="59"/>
      <c r="J202" s="59"/>
      <c r="K202" s="72"/>
      <c r="L202" s="59"/>
      <c r="M202" s="59"/>
      <c r="N202" s="72"/>
    </row>
    <row r="203" customFormat="false" ht="15.75" hidden="false" customHeight="false" outlineLevel="0" collapsed="false">
      <c r="A203" s="80" t="n">
        <v>5</v>
      </c>
      <c r="B203" s="68" t="s">
        <v>110</v>
      </c>
      <c r="C203" s="68" t="s">
        <v>40</v>
      </c>
      <c r="D203" s="84" t="n">
        <v>0.001</v>
      </c>
      <c r="E203" s="68" t="str">
        <f aca="false">C203&amp;D203</f>
        <v>COL1A10.001</v>
      </c>
      <c r="F203" s="82" t="n">
        <v>35.582</v>
      </c>
      <c r="G203" s="59"/>
      <c r="H203" s="59"/>
      <c r="I203" s="59"/>
      <c r="J203" s="59"/>
      <c r="K203" s="72"/>
      <c r="L203" s="59"/>
      <c r="M203" s="59"/>
      <c r="N203" s="72"/>
    </row>
    <row r="204" customFormat="false" ht="15.75" hidden="false" customHeight="false" outlineLevel="0" collapsed="false">
      <c r="A204" s="80" t="n">
        <v>5</v>
      </c>
      <c r="B204" s="68" t="s">
        <v>111</v>
      </c>
      <c r="C204" s="68" t="s">
        <v>40</v>
      </c>
      <c r="D204" s="68" t="s">
        <v>131</v>
      </c>
      <c r="E204" s="68" t="str">
        <f aca="false">C204&amp;D204</f>
        <v>COL1A1C1</v>
      </c>
      <c r="F204" s="82" t="n">
        <v>26.548</v>
      </c>
      <c r="G204" s="59"/>
      <c r="H204" s="59"/>
      <c r="I204" s="59"/>
      <c r="J204" s="59"/>
      <c r="K204" s="72"/>
      <c r="L204" s="59"/>
      <c r="M204" s="59"/>
      <c r="N204" s="72"/>
    </row>
    <row r="205" customFormat="false" ht="15.75" hidden="false" customHeight="false" outlineLevel="0" collapsed="false">
      <c r="A205" s="80" t="n">
        <v>5</v>
      </c>
      <c r="B205" s="68" t="s">
        <v>112</v>
      </c>
      <c r="C205" s="68" t="s">
        <v>40</v>
      </c>
      <c r="D205" s="68" t="s">
        <v>132</v>
      </c>
      <c r="E205" s="68" t="str">
        <f aca="false">C205&amp;D205</f>
        <v>COL1A1C2</v>
      </c>
      <c r="F205" s="82" t="n">
        <v>25.731</v>
      </c>
      <c r="G205" s="59"/>
      <c r="H205" s="59"/>
      <c r="I205" s="59"/>
      <c r="J205" s="59"/>
      <c r="K205" s="72"/>
      <c r="L205" s="59"/>
      <c r="M205" s="59"/>
      <c r="N205" s="72"/>
    </row>
    <row r="206" customFormat="false" ht="15.75" hidden="false" customHeight="false" outlineLevel="0" collapsed="false">
      <c r="A206" s="80" t="n">
        <v>5</v>
      </c>
      <c r="B206" s="68" t="s">
        <v>113</v>
      </c>
      <c r="C206" s="68" t="s">
        <v>40</v>
      </c>
      <c r="D206" s="68" t="s">
        <v>133</v>
      </c>
      <c r="E206" s="68" t="str">
        <f aca="false">C206&amp;D206</f>
        <v>COL1A1C3</v>
      </c>
      <c r="F206" s="82" t="n">
        <v>26.35</v>
      </c>
      <c r="G206" s="59"/>
      <c r="H206" s="59"/>
      <c r="I206" s="59"/>
      <c r="J206" s="59"/>
      <c r="K206" s="72"/>
      <c r="L206" s="59"/>
      <c r="M206" s="59"/>
      <c r="N206" s="72"/>
    </row>
    <row r="207" customFormat="false" ht="15.75" hidden="false" customHeight="false" outlineLevel="0" collapsed="false">
      <c r="A207" s="80" t="n">
        <v>5</v>
      </c>
      <c r="B207" s="68" t="s">
        <v>114</v>
      </c>
      <c r="C207" s="68" t="s">
        <v>40</v>
      </c>
      <c r="D207" s="68" t="s">
        <v>105</v>
      </c>
      <c r="E207" s="68" t="str">
        <f aca="false">C207&amp;D207</f>
        <v>COL1A1C5</v>
      </c>
      <c r="F207" s="82" t="n">
        <v>26.992</v>
      </c>
      <c r="G207" s="59"/>
      <c r="H207" s="59"/>
      <c r="I207" s="59"/>
      <c r="J207" s="59"/>
      <c r="K207" s="72"/>
      <c r="L207" s="59"/>
      <c r="M207" s="59"/>
      <c r="N207" s="72"/>
    </row>
    <row r="208" customFormat="false" ht="15.75" hidden="false" customHeight="false" outlineLevel="0" collapsed="false">
      <c r="A208" s="80" t="n">
        <v>5</v>
      </c>
      <c r="B208" s="68" t="s">
        <v>115</v>
      </c>
      <c r="C208" s="68" t="s">
        <v>40</v>
      </c>
      <c r="D208" s="68" t="s">
        <v>106</v>
      </c>
      <c r="E208" s="68" t="str">
        <f aca="false">C208&amp;D208</f>
        <v>COL1A1C6</v>
      </c>
      <c r="F208" s="82" t="n">
        <v>28.454</v>
      </c>
      <c r="G208" s="59"/>
      <c r="H208" s="59"/>
      <c r="I208" s="59"/>
      <c r="J208" s="59"/>
      <c r="K208" s="72"/>
      <c r="L208" s="59"/>
      <c r="M208" s="59"/>
      <c r="N208" s="72"/>
    </row>
    <row r="209" customFormat="false" ht="15.75" hidden="false" customHeight="false" outlineLevel="0" collapsed="false">
      <c r="A209" s="80" t="n">
        <v>5</v>
      </c>
      <c r="B209" s="68" t="s">
        <v>116</v>
      </c>
      <c r="C209" s="68" t="s">
        <v>40</v>
      </c>
      <c r="D209" s="68" t="s">
        <v>134</v>
      </c>
      <c r="E209" s="68" t="str">
        <f aca="false">C209&amp;D209</f>
        <v>COL1A1C7</v>
      </c>
      <c r="F209" s="82" t="n">
        <v>25.956</v>
      </c>
      <c r="G209" s="59"/>
      <c r="H209" s="59"/>
      <c r="I209" s="59"/>
      <c r="J209" s="59"/>
      <c r="K209" s="72"/>
      <c r="L209" s="59"/>
      <c r="M209" s="59"/>
      <c r="N209" s="72"/>
    </row>
    <row r="210" customFormat="false" ht="15.75" hidden="false" customHeight="false" outlineLevel="0" collapsed="false">
      <c r="A210" s="80" t="n">
        <v>5</v>
      </c>
      <c r="B210" s="68" t="s">
        <v>117</v>
      </c>
      <c r="C210" s="68" t="s">
        <v>40</v>
      </c>
      <c r="D210" s="68" t="s">
        <v>135</v>
      </c>
      <c r="E210" s="68" t="str">
        <f aca="false">C210&amp;D210</f>
        <v>COL1A1C10</v>
      </c>
      <c r="F210" s="82" t="n">
        <v>26.24</v>
      </c>
      <c r="G210" s="59"/>
      <c r="H210" s="59"/>
      <c r="I210" s="59"/>
      <c r="J210" s="59"/>
      <c r="K210" s="72"/>
      <c r="L210" s="59"/>
      <c r="M210" s="59"/>
      <c r="N210" s="72"/>
    </row>
    <row r="211" customFormat="false" ht="15.75" hidden="false" customHeight="false" outlineLevel="0" collapsed="false">
      <c r="A211" s="80" t="n">
        <v>5</v>
      </c>
      <c r="B211" s="68" t="s">
        <v>118</v>
      </c>
      <c r="C211" s="68" t="s">
        <v>40</v>
      </c>
      <c r="D211" s="68" t="s">
        <v>136</v>
      </c>
      <c r="E211" s="68" t="str">
        <f aca="false">C211&amp;D211</f>
        <v>COL1A1C11</v>
      </c>
      <c r="F211" s="82" t="n">
        <v>26.442</v>
      </c>
      <c r="G211" s="59"/>
      <c r="H211" s="59"/>
      <c r="I211" s="59"/>
      <c r="J211" s="59"/>
      <c r="K211" s="72"/>
      <c r="L211" s="59"/>
      <c r="M211" s="59"/>
      <c r="N211" s="72"/>
    </row>
    <row r="212" customFormat="false" ht="15.75" hidden="false" customHeight="false" outlineLevel="0" collapsed="false">
      <c r="A212" s="80" t="n">
        <v>5</v>
      </c>
      <c r="B212" s="68" t="s">
        <v>119</v>
      </c>
      <c r="C212" s="68" t="s">
        <v>40</v>
      </c>
      <c r="D212" s="68" t="s">
        <v>137</v>
      </c>
      <c r="E212" s="68" t="str">
        <f aca="false">C212&amp;D212</f>
        <v>COL1A1C12</v>
      </c>
      <c r="F212" s="82" t="n">
        <v>25.826</v>
      </c>
      <c r="G212" s="59"/>
      <c r="H212" s="59"/>
      <c r="I212" s="59"/>
      <c r="J212" s="59"/>
      <c r="K212" s="72"/>
      <c r="L212" s="59"/>
      <c r="M212" s="59"/>
      <c r="N212" s="72"/>
    </row>
    <row r="213" customFormat="false" ht="15.75" hidden="false" customHeight="false" outlineLevel="0" collapsed="false">
      <c r="A213" s="80" t="n">
        <v>5</v>
      </c>
      <c r="B213" s="68" t="s">
        <v>120</v>
      </c>
      <c r="C213" s="68" t="s">
        <v>40</v>
      </c>
      <c r="D213" s="68" t="s">
        <v>138</v>
      </c>
      <c r="E213" s="68" t="str">
        <f aca="false">C213&amp;D213</f>
        <v>COL1A1V1</v>
      </c>
      <c r="F213" s="82" t="n">
        <v>25.989</v>
      </c>
      <c r="G213" s="59"/>
      <c r="H213" s="59"/>
      <c r="I213" s="59"/>
      <c r="J213" s="59"/>
      <c r="K213" s="72"/>
      <c r="L213" s="59"/>
      <c r="M213" s="59"/>
      <c r="N213" s="72"/>
    </row>
    <row r="214" customFormat="false" ht="15.75" hidden="false" customHeight="false" outlineLevel="0" collapsed="false">
      <c r="A214" s="80" t="n">
        <v>5</v>
      </c>
      <c r="B214" s="68" t="s">
        <v>121</v>
      </c>
      <c r="C214" s="68" t="s">
        <v>40</v>
      </c>
      <c r="D214" s="68" t="s">
        <v>139</v>
      </c>
      <c r="E214" s="68" t="str">
        <f aca="false">C214&amp;D214</f>
        <v>COL1A1V2</v>
      </c>
      <c r="F214" s="82" t="n">
        <v>26.196</v>
      </c>
      <c r="G214" s="59"/>
      <c r="H214" s="59"/>
      <c r="I214" s="59"/>
      <c r="J214" s="59"/>
      <c r="K214" s="72"/>
      <c r="L214" s="59"/>
      <c r="M214" s="59"/>
      <c r="N214" s="72"/>
    </row>
    <row r="215" customFormat="false" ht="15.75" hidden="false" customHeight="false" outlineLevel="0" collapsed="false">
      <c r="A215" s="80" t="n">
        <v>5</v>
      </c>
      <c r="B215" s="68" t="s">
        <v>122</v>
      </c>
      <c r="C215" s="68" t="s">
        <v>40</v>
      </c>
      <c r="D215" s="68" t="s">
        <v>140</v>
      </c>
      <c r="E215" s="68" t="str">
        <f aca="false">C215&amp;D215</f>
        <v>COL1A1V3</v>
      </c>
      <c r="F215" s="82" t="n">
        <v>26.121</v>
      </c>
      <c r="G215" s="59"/>
      <c r="H215" s="59"/>
      <c r="I215" s="59"/>
      <c r="J215" s="59"/>
      <c r="K215" s="72"/>
      <c r="L215" s="59"/>
      <c r="M215" s="59"/>
      <c r="N215" s="72"/>
    </row>
    <row r="216" customFormat="false" ht="15.75" hidden="false" customHeight="false" outlineLevel="0" collapsed="false">
      <c r="A216" s="80" t="n">
        <v>5</v>
      </c>
      <c r="B216" s="68" t="s">
        <v>123</v>
      </c>
      <c r="C216" s="68" t="s">
        <v>40</v>
      </c>
      <c r="D216" s="68" t="s">
        <v>141</v>
      </c>
      <c r="E216" s="68" t="str">
        <f aca="false">C216&amp;D216</f>
        <v>COL1A1V4</v>
      </c>
      <c r="F216" s="82" t="n">
        <v>26.515</v>
      </c>
      <c r="G216" s="59"/>
      <c r="H216" s="59"/>
      <c r="I216" s="59"/>
      <c r="J216" s="59"/>
      <c r="K216" s="72"/>
      <c r="L216" s="59"/>
      <c r="M216" s="59"/>
      <c r="N216" s="72"/>
    </row>
    <row r="217" customFormat="false" ht="15.75" hidden="false" customHeight="false" outlineLevel="0" collapsed="false">
      <c r="A217" s="80" t="n">
        <v>5</v>
      </c>
      <c r="B217" s="68" t="s">
        <v>124</v>
      </c>
      <c r="C217" s="68" t="s">
        <v>40</v>
      </c>
      <c r="D217" s="68" t="s">
        <v>142</v>
      </c>
      <c r="E217" s="68" t="str">
        <f aca="false">C217&amp;D217</f>
        <v>COL1A1V5</v>
      </c>
      <c r="F217" s="82" t="n">
        <v>25.853</v>
      </c>
      <c r="G217" s="59"/>
      <c r="H217" s="59"/>
      <c r="I217" s="59"/>
      <c r="J217" s="59"/>
      <c r="K217" s="72"/>
      <c r="L217" s="59"/>
      <c r="M217" s="59"/>
      <c r="N217" s="72"/>
    </row>
    <row r="218" customFormat="false" ht="15.75" hidden="false" customHeight="false" outlineLevel="0" collapsed="false">
      <c r="A218" s="80" t="n">
        <v>5</v>
      </c>
      <c r="B218" s="68" t="s">
        <v>125</v>
      </c>
      <c r="C218" s="68" t="s">
        <v>40</v>
      </c>
      <c r="D218" s="68" t="s">
        <v>143</v>
      </c>
      <c r="E218" s="68" t="str">
        <f aca="false">C218&amp;D218</f>
        <v>COL1A1V7</v>
      </c>
      <c r="F218" s="82" t="n">
        <v>25.517</v>
      </c>
      <c r="G218" s="59"/>
      <c r="H218" s="59"/>
      <c r="I218" s="59"/>
      <c r="J218" s="59"/>
      <c r="K218" s="72"/>
      <c r="L218" s="59"/>
      <c r="M218" s="59"/>
      <c r="N218" s="72"/>
    </row>
    <row r="219" customFormat="false" ht="15.75" hidden="false" customHeight="false" outlineLevel="0" collapsed="false">
      <c r="A219" s="80" t="n">
        <v>5</v>
      </c>
      <c r="B219" s="68" t="s">
        <v>126</v>
      </c>
      <c r="C219" s="68" t="s">
        <v>40</v>
      </c>
      <c r="D219" s="68" t="s">
        <v>144</v>
      </c>
      <c r="E219" s="68" t="str">
        <f aca="false">C219&amp;D219</f>
        <v>COL1A1V8</v>
      </c>
      <c r="F219" s="82" t="n">
        <v>26.894</v>
      </c>
      <c r="G219" s="59"/>
      <c r="H219" s="59"/>
      <c r="I219" s="59"/>
      <c r="J219" s="59"/>
      <c r="K219" s="72"/>
      <c r="L219" s="59"/>
      <c r="M219" s="59"/>
      <c r="N219" s="72"/>
    </row>
    <row r="220" customFormat="false" ht="15.75" hidden="false" customHeight="false" outlineLevel="0" collapsed="false">
      <c r="A220" s="80" t="n">
        <v>5</v>
      </c>
      <c r="B220" s="68" t="s">
        <v>127</v>
      </c>
      <c r="C220" s="68" t="s">
        <v>40</v>
      </c>
      <c r="D220" s="68" t="s">
        <v>145</v>
      </c>
      <c r="E220" s="68" t="str">
        <f aca="false">C220&amp;D220</f>
        <v>COL1A1V10</v>
      </c>
      <c r="F220" s="82" t="n">
        <v>27.024</v>
      </c>
      <c r="G220" s="59"/>
      <c r="H220" s="59"/>
      <c r="I220" s="59"/>
      <c r="J220" s="59"/>
      <c r="K220" s="72"/>
      <c r="L220" s="59"/>
      <c r="M220" s="59"/>
      <c r="N220" s="72"/>
    </row>
    <row r="221" customFormat="false" ht="15.75" hidden="false" customHeight="false" outlineLevel="0" collapsed="false">
      <c r="A221" s="80" t="n">
        <v>5</v>
      </c>
      <c r="B221" s="68" t="s">
        <v>128</v>
      </c>
      <c r="C221" s="68" t="s">
        <v>40</v>
      </c>
      <c r="D221" s="68" t="s">
        <v>146</v>
      </c>
      <c r="E221" s="68" t="str">
        <f aca="false">C221&amp;D221</f>
        <v>COL1A1V12</v>
      </c>
      <c r="F221" s="82" t="n">
        <v>27.556</v>
      </c>
      <c r="G221" s="59"/>
      <c r="H221" s="59"/>
      <c r="I221" s="59"/>
      <c r="J221" s="59"/>
      <c r="K221" s="72"/>
      <c r="L221" s="59"/>
      <c r="M221" s="59"/>
      <c r="N221" s="72"/>
    </row>
    <row r="222" customFormat="false" ht="15.75" hidden="false" customHeight="false" outlineLevel="0" collapsed="false">
      <c r="A222" s="80" t="n">
        <v>6</v>
      </c>
      <c r="B222" s="68" t="s">
        <v>80</v>
      </c>
      <c r="C222" s="68" t="s">
        <v>41</v>
      </c>
      <c r="D222" s="81" t="n">
        <v>1</v>
      </c>
      <c r="E222" s="68" t="str">
        <f aca="false">C222&amp;D222</f>
        <v>CDH191</v>
      </c>
      <c r="F222" s="82" t="n">
        <v>23.27</v>
      </c>
      <c r="G222" s="59"/>
      <c r="H222" s="59"/>
      <c r="I222" s="59"/>
      <c r="J222" s="59"/>
      <c r="K222" s="72"/>
      <c r="L222" s="59"/>
      <c r="M222" s="59"/>
      <c r="N222" s="72"/>
    </row>
    <row r="223" customFormat="false" ht="15.75" hidden="false" customHeight="false" outlineLevel="0" collapsed="false">
      <c r="A223" s="80" t="n">
        <v>6</v>
      </c>
      <c r="B223" s="68" t="s">
        <v>85</v>
      </c>
      <c r="C223" s="68" t="s">
        <v>41</v>
      </c>
      <c r="D223" s="81" t="n">
        <v>0.1</v>
      </c>
      <c r="E223" s="68" t="str">
        <f aca="false">C223&amp;D223</f>
        <v>CDH190.1</v>
      </c>
      <c r="F223" s="82" t="n">
        <v>26.309</v>
      </c>
      <c r="G223" s="59"/>
      <c r="H223" s="59"/>
      <c r="I223" s="59"/>
      <c r="J223" s="59"/>
      <c r="K223" s="72"/>
      <c r="L223" s="59"/>
      <c r="M223" s="59"/>
      <c r="N223" s="72"/>
    </row>
    <row r="224" customFormat="false" ht="15.75" hidden="false" customHeight="false" outlineLevel="0" collapsed="false">
      <c r="A224" s="80" t="n">
        <v>6</v>
      </c>
      <c r="B224" s="68" t="s">
        <v>86</v>
      </c>
      <c r="C224" s="68" t="s">
        <v>41</v>
      </c>
      <c r="D224" s="81" t="n">
        <v>0.01</v>
      </c>
      <c r="E224" s="68" t="str">
        <f aca="false">C224&amp;D224</f>
        <v>CDH190.01</v>
      </c>
      <c r="F224" s="82" t="n">
        <v>29.382</v>
      </c>
      <c r="G224" s="59"/>
      <c r="H224" s="59"/>
      <c r="I224" s="59"/>
      <c r="J224" s="59"/>
      <c r="K224" s="72"/>
      <c r="L224" s="59"/>
      <c r="M224" s="59"/>
      <c r="N224" s="72"/>
    </row>
    <row r="225" customFormat="false" ht="15.75" hidden="false" customHeight="false" outlineLevel="0" collapsed="false">
      <c r="A225" s="80" t="n">
        <v>6</v>
      </c>
      <c r="B225" s="68" t="s">
        <v>87</v>
      </c>
      <c r="C225" s="68" t="s">
        <v>41</v>
      </c>
      <c r="D225" s="84" t="n">
        <v>0.001</v>
      </c>
      <c r="E225" s="68" t="str">
        <f aca="false">C225&amp;D225</f>
        <v>CDH190.001</v>
      </c>
      <c r="F225" s="82" t="n">
        <v>34.578</v>
      </c>
      <c r="G225" s="59"/>
      <c r="H225" s="59"/>
      <c r="I225" s="59"/>
      <c r="J225" s="59"/>
      <c r="K225" s="72"/>
      <c r="L225" s="59"/>
      <c r="M225" s="59"/>
      <c r="N225" s="72"/>
    </row>
    <row r="226" customFormat="false" ht="15.75" hidden="false" customHeight="false" outlineLevel="0" collapsed="false">
      <c r="A226" s="80" t="n">
        <v>6</v>
      </c>
      <c r="B226" s="68" t="s">
        <v>89</v>
      </c>
      <c r="C226" s="68" t="s">
        <v>41</v>
      </c>
      <c r="D226" s="68" t="s">
        <v>131</v>
      </c>
      <c r="E226" s="68" t="str">
        <f aca="false">C226&amp;D226</f>
        <v>CDH19C1</v>
      </c>
      <c r="F226" s="82" t="n">
        <v>24.254</v>
      </c>
      <c r="G226" s="59"/>
      <c r="H226" s="59"/>
      <c r="I226" s="59"/>
      <c r="J226" s="59"/>
      <c r="K226" s="72"/>
      <c r="L226" s="59"/>
      <c r="M226" s="59"/>
      <c r="N226" s="72"/>
    </row>
    <row r="227" customFormat="false" ht="15.75" hidden="false" customHeight="false" outlineLevel="0" collapsed="false">
      <c r="A227" s="80" t="n">
        <v>6</v>
      </c>
      <c r="B227" s="68" t="s">
        <v>90</v>
      </c>
      <c r="C227" s="68" t="s">
        <v>41</v>
      </c>
      <c r="D227" s="68" t="s">
        <v>132</v>
      </c>
      <c r="E227" s="68" t="str">
        <f aca="false">C227&amp;D227</f>
        <v>CDH19C2</v>
      </c>
      <c r="F227" s="82" t="n">
        <v>23.779</v>
      </c>
      <c r="G227" s="59"/>
      <c r="H227" s="59"/>
      <c r="I227" s="59"/>
      <c r="J227" s="59"/>
      <c r="K227" s="72"/>
      <c r="L227" s="59"/>
      <c r="M227" s="59"/>
      <c r="N227" s="72"/>
    </row>
    <row r="228" customFormat="false" ht="15.75" hidden="false" customHeight="false" outlineLevel="0" collapsed="false">
      <c r="A228" s="80" t="n">
        <v>6</v>
      </c>
      <c r="B228" s="68" t="s">
        <v>91</v>
      </c>
      <c r="C228" s="68" t="s">
        <v>41</v>
      </c>
      <c r="D228" s="68" t="s">
        <v>133</v>
      </c>
      <c r="E228" s="68" t="str">
        <f aca="false">C228&amp;D228</f>
        <v>CDH19C3</v>
      </c>
      <c r="F228" s="82" t="n">
        <v>24.163</v>
      </c>
      <c r="G228" s="59"/>
      <c r="H228" s="59"/>
      <c r="I228" s="59"/>
      <c r="J228" s="59"/>
      <c r="K228" s="72"/>
      <c r="L228" s="59"/>
      <c r="M228" s="59"/>
      <c r="N228" s="72"/>
    </row>
    <row r="229" customFormat="false" ht="15.75" hidden="false" customHeight="false" outlineLevel="0" collapsed="false">
      <c r="A229" s="80" t="n">
        <v>6</v>
      </c>
      <c r="B229" s="68" t="s">
        <v>92</v>
      </c>
      <c r="C229" s="68" t="s">
        <v>41</v>
      </c>
      <c r="D229" s="68" t="s">
        <v>105</v>
      </c>
      <c r="E229" s="68" t="str">
        <f aca="false">C229&amp;D229</f>
        <v>CDH19C5</v>
      </c>
      <c r="F229" s="82" t="n">
        <v>24.584</v>
      </c>
      <c r="G229" s="59"/>
      <c r="H229" s="59"/>
      <c r="I229" s="59"/>
      <c r="J229" s="59"/>
      <c r="K229" s="72"/>
      <c r="L229" s="59"/>
      <c r="M229" s="59"/>
      <c r="N229" s="72"/>
    </row>
    <row r="230" customFormat="false" ht="15.75" hidden="false" customHeight="false" outlineLevel="0" collapsed="false">
      <c r="A230" s="80" t="n">
        <v>6</v>
      </c>
      <c r="B230" s="68" t="s">
        <v>93</v>
      </c>
      <c r="C230" s="68" t="s">
        <v>41</v>
      </c>
      <c r="D230" s="68" t="s">
        <v>106</v>
      </c>
      <c r="E230" s="68" t="str">
        <f aca="false">C230&amp;D230</f>
        <v>CDH19C6</v>
      </c>
      <c r="F230" s="82" t="n">
        <v>25.781</v>
      </c>
      <c r="G230" s="59"/>
      <c r="H230" s="59"/>
      <c r="I230" s="59"/>
      <c r="J230" s="59"/>
      <c r="K230" s="72"/>
      <c r="L230" s="59"/>
      <c r="M230" s="59"/>
      <c r="N230" s="72"/>
    </row>
    <row r="231" customFormat="false" ht="15.75" hidden="false" customHeight="false" outlineLevel="0" collapsed="false">
      <c r="A231" s="80" t="n">
        <v>6</v>
      </c>
      <c r="B231" s="68" t="s">
        <v>94</v>
      </c>
      <c r="C231" s="68" t="s">
        <v>41</v>
      </c>
      <c r="D231" s="68" t="s">
        <v>134</v>
      </c>
      <c r="E231" s="68" t="str">
        <f aca="false">C231&amp;D231</f>
        <v>CDH19C7</v>
      </c>
      <c r="F231" s="82" t="n">
        <v>23.842</v>
      </c>
      <c r="G231" s="59"/>
      <c r="H231" s="59"/>
      <c r="I231" s="59"/>
      <c r="J231" s="59"/>
      <c r="K231" s="72"/>
      <c r="L231" s="59"/>
      <c r="M231" s="59"/>
      <c r="N231" s="72"/>
    </row>
    <row r="232" customFormat="false" ht="15.75" hidden="false" customHeight="false" outlineLevel="0" collapsed="false">
      <c r="A232" s="80" t="n">
        <v>6</v>
      </c>
      <c r="B232" s="68" t="s">
        <v>95</v>
      </c>
      <c r="C232" s="68" t="s">
        <v>41</v>
      </c>
      <c r="D232" s="68" t="s">
        <v>135</v>
      </c>
      <c r="E232" s="68" t="str">
        <f aca="false">C232&amp;D232</f>
        <v>CDH19C10</v>
      </c>
      <c r="F232" s="82" t="n">
        <v>24.006</v>
      </c>
      <c r="G232" s="59"/>
      <c r="H232" s="59"/>
      <c r="I232" s="59"/>
      <c r="J232" s="59"/>
      <c r="K232" s="72"/>
      <c r="L232" s="59"/>
      <c r="M232" s="59"/>
      <c r="N232" s="72"/>
    </row>
    <row r="233" customFormat="false" ht="15.75" hidden="false" customHeight="false" outlineLevel="0" collapsed="false">
      <c r="A233" s="80" t="n">
        <v>6</v>
      </c>
      <c r="B233" s="68" t="s">
        <v>96</v>
      </c>
      <c r="C233" s="68" t="s">
        <v>41</v>
      </c>
      <c r="D233" s="68" t="s">
        <v>136</v>
      </c>
      <c r="E233" s="68" t="str">
        <f aca="false">C233&amp;D233</f>
        <v>CDH19C11</v>
      </c>
      <c r="F233" s="82" t="n">
        <v>24.559</v>
      </c>
      <c r="G233" s="59"/>
      <c r="H233" s="59"/>
      <c r="I233" s="59"/>
      <c r="J233" s="59"/>
      <c r="K233" s="72"/>
      <c r="L233" s="59"/>
      <c r="M233" s="59"/>
      <c r="N233" s="72"/>
    </row>
    <row r="234" customFormat="false" ht="15.75" hidden="false" customHeight="false" outlineLevel="0" collapsed="false">
      <c r="A234" s="80" t="n">
        <v>6</v>
      </c>
      <c r="B234" s="68" t="s">
        <v>97</v>
      </c>
      <c r="C234" s="68" t="s">
        <v>41</v>
      </c>
      <c r="D234" s="68" t="s">
        <v>137</v>
      </c>
      <c r="E234" s="68" t="str">
        <f aca="false">C234&amp;D234</f>
        <v>CDH19C12</v>
      </c>
      <c r="F234" s="82" t="n">
        <v>24.32</v>
      </c>
      <c r="G234" s="59"/>
      <c r="H234" s="59"/>
      <c r="I234" s="59"/>
      <c r="J234" s="59"/>
      <c r="K234" s="72"/>
      <c r="L234" s="59"/>
      <c r="M234" s="59"/>
      <c r="N234" s="72"/>
    </row>
    <row r="235" customFormat="false" ht="15.75" hidden="false" customHeight="false" outlineLevel="0" collapsed="false">
      <c r="A235" s="80" t="n">
        <v>6</v>
      </c>
      <c r="B235" s="68" t="s">
        <v>98</v>
      </c>
      <c r="C235" s="68" t="s">
        <v>41</v>
      </c>
      <c r="D235" s="68" t="s">
        <v>138</v>
      </c>
      <c r="E235" s="68" t="str">
        <f aca="false">C235&amp;D235</f>
        <v>CDH19V1</v>
      </c>
      <c r="F235" s="82" t="n">
        <v>24.514</v>
      </c>
      <c r="G235" s="59"/>
      <c r="H235" s="59"/>
      <c r="I235" s="59"/>
      <c r="J235" s="59"/>
      <c r="K235" s="72"/>
      <c r="L235" s="59"/>
      <c r="M235" s="59"/>
      <c r="N235" s="72"/>
    </row>
    <row r="236" customFormat="false" ht="15.75" hidden="false" customHeight="false" outlineLevel="0" collapsed="false">
      <c r="A236" s="80" t="n">
        <v>6</v>
      </c>
      <c r="B236" s="68" t="s">
        <v>99</v>
      </c>
      <c r="C236" s="68" t="s">
        <v>41</v>
      </c>
      <c r="D236" s="68" t="s">
        <v>139</v>
      </c>
      <c r="E236" s="68" t="str">
        <f aca="false">C236&amp;D236</f>
        <v>CDH19V2</v>
      </c>
      <c r="F236" s="82" t="n">
        <v>24.472</v>
      </c>
      <c r="G236" s="59"/>
      <c r="H236" s="59"/>
      <c r="I236" s="59"/>
      <c r="J236" s="59"/>
      <c r="K236" s="72"/>
      <c r="L236" s="59"/>
      <c r="M236" s="59"/>
      <c r="N236" s="72"/>
    </row>
    <row r="237" customFormat="false" ht="15.75" hidden="false" customHeight="false" outlineLevel="0" collapsed="false">
      <c r="A237" s="80" t="n">
        <v>6</v>
      </c>
      <c r="B237" s="68" t="s">
        <v>100</v>
      </c>
      <c r="C237" s="68" t="s">
        <v>41</v>
      </c>
      <c r="D237" s="68" t="s">
        <v>140</v>
      </c>
      <c r="E237" s="68" t="str">
        <f aca="false">C237&amp;D237</f>
        <v>CDH19V3</v>
      </c>
      <c r="F237" s="82" t="n">
        <v>24.211</v>
      </c>
      <c r="G237" s="59"/>
      <c r="H237" s="59"/>
      <c r="I237" s="59"/>
      <c r="J237" s="59"/>
      <c r="K237" s="72"/>
      <c r="L237" s="59"/>
      <c r="M237" s="59"/>
      <c r="N237" s="72"/>
    </row>
    <row r="238" customFormat="false" ht="15.75" hidden="false" customHeight="false" outlineLevel="0" collapsed="false">
      <c r="A238" s="80" t="n">
        <v>6</v>
      </c>
      <c r="B238" s="68" t="s">
        <v>101</v>
      </c>
      <c r="C238" s="68" t="s">
        <v>41</v>
      </c>
      <c r="D238" s="68" t="s">
        <v>141</v>
      </c>
      <c r="E238" s="68" t="str">
        <f aca="false">C238&amp;D238</f>
        <v>CDH19V4</v>
      </c>
      <c r="F238" s="82" t="n">
        <v>24.449</v>
      </c>
      <c r="G238" s="59"/>
      <c r="H238" s="59"/>
      <c r="I238" s="59"/>
      <c r="J238" s="59"/>
      <c r="K238" s="72"/>
      <c r="L238" s="59"/>
      <c r="M238" s="59"/>
      <c r="N238" s="72"/>
    </row>
    <row r="239" customFormat="false" ht="15.75" hidden="false" customHeight="false" outlineLevel="0" collapsed="false">
      <c r="A239" s="80" t="n">
        <v>6</v>
      </c>
      <c r="B239" s="68" t="s">
        <v>102</v>
      </c>
      <c r="C239" s="68" t="s">
        <v>41</v>
      </c>
      <c r="D239" s="68" t="s">
        <v>142</v>
      </c>
      <c r="E239" s="68" t="str">
        <f aca="false">C239&amp;D239</f>
        <v>CDH19V5</v>
      </c>
      <c r="F239" s="82" t="n">
        <v>23.467</v>
      </c>
      <c r="G239" s="59"/>
      <c r="H239" s="59"/>
      <c r="I239" s="59"/>
      <c r="J239" s="59"/>
      <c r="K239" s="72"/>
      <c r="L239" s="59"/>
      <c r="M239" s="59"/>
      <c r="N239" s="72"/>
    </row>
    <row r="240" customFormat="false" ht="15.75" hidden="false" customHeight="false" outlineLevel="0" collapsed="false">
      <c r="A240" s="80" t="n">
        <v>6</v>
      </c>
      <c r="B240" s="68" t="s">
        <v>103</v>
      </c>
      <c r="C240" s="68" t="s">
        <v>41</v>
      </c>
      <c r="D240" s="68" t="s">
        <v>143</v>
      </c>
      <c r="E240" s="68" t="str">
        <f aca="false">C240&amp;D240</f>
        <v>CDH19V7</v>
      </c>
      <c r="F240" s="82" t="n">
        <v>24.052</v>
      </c>
      <c r="G240" s="59"/>
      <c r="H240" s="59"/>
      <c r="I240" s="59"/>
      <c r="J240" s="59"/>
      <c r="K240" s="72"/>
      <c r="L240" s="59"/>
      <c r="M240" s="59"/>
      <c r="N240" s="72"/>
    </row>
    <row r="241" customFormat="false" ht="15.75" hidden="false" customHeight="false" outlineLevel="0" collapsed="false">
      <c r="A241" s="80" t="n">
        <v>6</v>
      </c>
      <c r="B241" s="68" t="s">
        <v>104</v>
      </c>
      <c r="C241" s="68" t="s">
        <v>41</v>
      </c>
      <c r="D241" s="68" t="s">
        <v>144</v>
      </c>
      <c r="E241" s="68" t="str">
        <f aca="false">C241&amp;D241</f>
        <v>CDH19V8</v>
      </c>
      <c r="F241" s="82" t="n">
        <v>24.156</v>
      </c>
      <c r="G241" s="59"/>
      <c r="H241" s="59"/>
      <c r="I241" s="59"/>
      <c r="J241" s="59"/>
      <c r="K241" s="72"/>
      <c r="L241" s="59"/>
      <c r="M241" s="59"/>
      <c r="N241" s="72"/>
    </row>
    <row r="242" customFormat="false" ht="15.75" hidden="false" customHeight="false" outlineLevel="0" collapsed="false">
      <c r="A242" s="80" t="n">
        <v>6</v>
      </c>
      <c r="B242" s="68" t="s">
        <v>105</v>
      </c>
      <c r="C242" s="68" t="s">
        <v>41</v>
      </c>
      <c r="D242" s="68" t="s">
        <v>145</v>
      </c>
      <c r="E242" s="68" t="str">
        <f aca="false">C242&amp;D242</f>
        <v>CDH19V10</v>
      </c>
      <c r="F242" s="82" t="n">
        <v>25.363</v>
      </c>
      <c r="G242" s="59"/>
      <c r="H242" s="59"/>
      <c r="I242" s="59"/>
      <c r="J242" s="59"/>
      <c r="K242" s="72"/>
      <c r="L242" s="59"/>
      <c r="M242" s="59"/>
      <c r="N242" s="72"/>
    </row>
    <row r="243" customFormat="false" ht="15.75" hidden="false" customHeight="false" outlineLevel="0" collapsed="false">
      <c r="A243" s="80" t="n">
        <v>6</v>
      </c>
      <c r="B243" s="68" t="s">
        <v>106</v>
      </c>
      <c r="C243" s="68" t="s">
        <v>41</v>
      </c>
      <c r="D243" s="68" t="s">
        <v>146</v>
      </c>
      <c r="E243" s="68" t="str">
        <f aca="false">C243&amp;D243</f>
        <v>CDH19V12</v>
      </c>
      <c r="F243" s="82" t="n">
        <v>25.123</v>
      </c>
      <c r="G243" s="59"/>
      <c r="H243" s="59"/>
      <c r="I243" s="59"/>
      <c r="J243" s="59"/>
      <c r="K243" s="72"/>
      <c r="L243" s="59"/>
      <c r="M243" s="59"/>
      <c r="N243" s="72"/>
    </row>
    <row r="244" customFormat="false" ht="15.75" hidden="false" customHeight="false" outlineLevel="0" collapsed="false">
      <c r="A244" s="80" t="n">
        <v>6</v>
      </c>
      <c r="B244" s="68" t="s">
        <v>107</v>
      </c>
      <c r="C244" s="68" t="s">
        <v>42</v>
      </c>
      <c r="D244" s="81" t="n">
        <v>1</v>
      </c>
      <c r="E244" s="68" t="str">
        <f aca="false">C244&amp;D244</f>
        <v>ERNM1</v>
      </c>
      <c r="F244" s="82" t="n">
        <v>24.783</v>
      </c>
      <c r="G244" s="59"/>
      <c r="H244" s="59"/>
      <c r="I244" s="59"/>
      <c r="J244" s="59"/>
      <c r="K244" s="72"/>
      <c r="L244" s="59"/>
      <c r="M244" s="59"/>
      <c r="N244" s="72"/>
    </row>
    <row r="245" customFormat="false" ht="15.75" hidden="false" customHeight="false" outlineLevel="0" collapsed="false">
      <c r="A245" s="80" t="n">
        <v>6</v>
      </c>
      <c r="B245" s="68" t="s">
        <v>108</v>
      </c>
      <c r="C245" s="68" t="s">
        <v>42</v>
      </c>
      <c r="D245" s="81" t="n">
        <v>0.1</v>
      </c>
      <c r="E245" s="68" t="str">
        <f aca="false">C245&amp;D245</f>
        <v>ERNM0.1</v>
      </c>
      <c r="F245" s="82" t="n">
        <v>26.402</v>
      </c>
      <c r="G245" s="59"/>
      <c r="H245" s="59"/>
      <c r="I245" s="59"/>
      <c r="J245" s="59"/>
      <c r="K245" s="72"/>
      <c r="L245" s="59"/>
      <c r="M245" s="59"/>
      <c r="N245" s="72"/>
    </row>
    <row r="246" customFormat="false" ht="15.75" hidden="false" customHeight="false" outlineLevel="0" collapsed="false">
      <c r="A246" s="80" t="n">
        <v>6</v>
      </c>
      <c r="B246" s="68" t="s">
        <v>109</v>
      </c>
      <c r="C246" s="68" t="s">
        <v>42</v>
      </c>
      <c r="D246" s="81" t="n">
        <v>0.01</v>
      </c>
      <c r="E246" s="68" t="str">
        <f aca="false">C246&amp;D246</f>
        <v>ERNM0.01</v>
      </c>
      <c r="F246" s="82" t="n">
        <v>30.076</v>
      </c>
      <c r="G246" s="59"/>
      <c r="H246" s="59"/>
      <c r="I246" s="59"/>
      <c r="J246" s="59"/>
      <c r="K246" s="72"/>
      <c r="L246" s="59"/>
      <c r="M246" s="59"/>
      <c r="N246" s="72"/>
    </row>
    <row r="247" customFormat="false" ht="15.75" hidden="false" customHeight="false" outlineLevel="0" collapsed="false">
      <c r="A247" s="80" t="n">
        <v>6</v>
      </c>
      <c r="B247" s="68" t="s">
        <v>110</v>
      </c>
      <c r="C247" s="68" t="s">
        <v>42</v>
      </c>
      <c r="D247" s="84" t="n">
        <v>0.001</v>
      </c>
      <c r="E247" s="68" t="str">
        <f aca="false">C247&amp;D247</f>
        <v>ERNM0.001</v>
      </c>
      <c r="F247" s="82" t="n">
        <v>32.404</v>
      </c>
      <c r="G247" s="59"/>
      <c r="H247" s="59"/>
      <c r="I247" s="59"/>
      <c r="J247" s="59"/>
      <c r="K247" s="72"/>
      <c r="L247" s="59"/>
      <c r="M247" s="59"/>
      <c r="N247" s="72"/>
    </row>
    <row r="248" customFormat="false" ht="15.75" hidden="false" customHeight="false" outlineLevel="0" collapsed="false">
      <c r="A248" s="80" t="n">
        <v>6</v>
      </c>
      <c r="B248" s="68" t="s">
        <v>111</v>
      </c>
      <c r="C248" s="68" t="s">
        <v>42</v>
      </c>
      <c r="D248" s="68" t="s">
        <v>131</v>
      </c>
      <c r="E248" s="68" t="str">
        <f aca="false">C248&amp;D248</f>
        <v>ERNMC1</v>
      </c>
      <c r="F248" s="82" t="n">
        <v>23.932</v>
      </c>
      <c r="G248" s="59"/>
      <c r="H248" s="59"/>
      <c r="I248" s="59"/>
      <c r="J248" s="59"/>
      <c r="K248" s="72"/>
      <c r="L248" s="59"/>
      <c r="M248" s="59"/>
      <c r="N248" s="72"/>
    </row>
    <row r="249" customFormat="false" ht="15.75" hidden="false" customHeight="false" outlineLevel="0" collapsed="false">
      <c r="A249" s="80" t="n">
        <v>6</v>
      </c>
      <c r="B249" s="68" t="s">
        <v>112</v>
      </c>
      <c r="C249" s="68" t="s">
        <v>42</v>
      </c>
      <c r="D249" s="68" t="s">
        <v>132</v>
      </c>
      <c r="E249" s="68" t="str">
        <f aca="false">C249&amp;D249</f>
        <v>ERNMC2</v>
      </c>
      <c r="F249" s="82" t="n">
        <v>24.407</v>
      </c>
      <c r="G249" s="59"/>
      <c r="H249" s="59"/>
      <c r="I249" s="59"/>
      <c r="J249" s="59"/>
      <c r="K249" s="72"/>
      <c r="L249" s="59"/>
      <c r="M249" s="59"/>
      <c r="N249" s="72"/>
    </row>
    <row r="250" customFormat="false" ht="15.75" hidden="false" customHeight="false" outlineLevel="0" collapsed="false">
      <c r="A250" s="80" t="n">
        <v>6</v>
      </c>
      <c r="B250" s="68" t="s">
        <v>113</v>
      </c>
      <c r="C250" s="68" t="s">
        <v>42</v>
      </c>
      <c r="D250" s="68" t="s">
        <v>133</v>
      </c>
      <c r="E250" s="68" t="str">
        <f aca="false">C250&amp;D250</f>
        <v>ERNMC3</v>
      </c>
      <c r="F250" s="82" t="n">
        <v>23.484</v>
      </c>
      <c r="G250" s="59"/>
      <c r="H250" s="59"/>
      <c r="I250" s="59"/>
      <c r="J250" s="59"/>
      <c r="K250" s="72"/>
      <c r="L250" s="59"/>
      <c r="M250" s="59"/>
      <c r="N250" s="72"/>
    </row>
    <row r="251" customFormat="false" ht="15.75" hidden="false" customHeight="false" outlineLevel="0" collapsed="false">
      <c r="A251" s="80" t="n">
        <v>6</v>
      </c>
      <c r="B251" s="68" t="s">
        <v>114</v>
      </c>
      <c r="C251" s="68" t="s">
        <v>42</v>
      </c>
      <c r="D251" s="68" t="s">
        <v>105</v>
      </c>
      <c r="E251" s="68" t="str">
        <f aca="false">C251&amp;D251</f>
        <v>ERNMC5</v>
      </c>
      <c r="F251" s="82" t="n">
        <v>24.321</v>
      </c>
      <c r="G251" s="59"/>
      <c r="H251" s="59"/>
      <c r="I251" s="59"/>
      <c r="J251" s="59"/>
      <c r="K251" s="72"/>
      <c r="L251" s="59"/>
      <c r="M251" s="59"/>
      <c r="N251" s="72"/>
    </row>
    <row r="252" customFormat="false" ht="15.75" hidden="false" customHeight="false" outlineLevel="0" collapsed="false">
      <c r="A252" s="80" t="n">
        <v>6</v>
      </c>
      <c r="B252" s="68" t="s">
        <v>115</v>
      </c>
      <c r="C252" s="68" t="s">
        <v>42</v>
      </c>
      <c r="D252" s="68" t="s">
        <v>106</v>
      </c>
      <c r="E252" s="68" t="str">
        <f aca="false">C252&amp;D252</f>
        <v>ERNMC6</v>
      </c>
      <c r="F252" s="82" t="n">
        <v>24.602</v>
      </c>
      <c r="G252" s="59"/>
      <c r="H252" s="59"/>
      <c r="I252" s="59"/>
      <c r="J252" s="59"/>
      <c r="K252" s="72"/>
      <c r="L252" s="59"/>
      <c r="M252" s="59"/>
      <c r="N252" s="72"/>
    </row>
    <row r="253" customFormat="false" ht="15.75" hidden="false" customHeight="false" outlineLevel="0" collapsed="false">
      <c r="A253" s="80" t="n">
        <v>6</v>
      </c>
      <c r="B253" s="68" t="s">
        <v>116</v>
      </c>
      <c r="C253" s="68" t="s">
        <v>42</v>
      </c>
      <c r="D253" s="68" t="s">
        <v>134</v>
      </c>
      <c r="E253" s="68" t="str">
        <f aca="false">C253&amp;D253</f>
        <v>ERNMC7</v>
      </c>
      <c r="F253" s="82" t="n">
        <v>24.163</v>
      </c>
      <c r="G253" s="59"/>
      <c r="H253" s="59"/>
      <c r="I253" s="59"/>
      <c r="J253" s="59"/>
      <c r="K253" s="72"/>
      <c r="L253" s="59"/>
      <c r="M253" s="59"/>
      <c r="N253" s="72"/>
    </row>
    <row r="254" customFormat="false" ht="15.75" hidden="false" customHeight="false" outlineLevel="0" collapsed="false">
      <c r="A254" s="80" t="n">
        <v>6</v>
      </c>
      <c r="B254" s="68" t="s">
        <v>117</v>
      </c>
      <c r="C254" s="68" t="s">
        <v>42</v>
      </c>
      <c r="D254" s="68" t="s">
        <v>135</v>
      </c>
      <c r="E254" s="68" t="str">
        <f aca="false">C254&amp;D254</f>
        <v>ERNMC10</v>
      </c>
      <c r="F254" s="82" t="n">
        <v>23.935</v>
      </c>
      <c r="G254" s="59"/>
      <c r="H254" s="59"/>
      <c r="I254" s="59"/>
      <c r="J254" s="59"/>
      <c r="K254" s="72"/>
      <c r="L254" s="59"/>
      <c r="M254" s="59"/>
      <c r="N254" s="72"/>
    </row>
    <row r="255" customFormat="false" ht="15.75" hidden="false" customHeight="false" outlineLevel="0" collapsed="false">
      <c r="A255" s="80" t="n">
        <v>6</v>
      </c>
      <c r="B255" s="68" t="s">
        <v>118</v>
      </c>
      <c r="C255" s="68" t="s">
        <v>42</v>
      </c>
      <c r="D255" s="68" t="s">
        <v>136</v>
      </c>
      <c r="E255" s="68" t="str">
        <f aca="false">C255&amp;D255</f>
        <v>ERNMC11</v>
      </c>
      <c r="F255" s="82" t="n">
        <v>24.721</v>
      </c>
      <c r="G255" s="59"/>
      <c r="H255" s="59"/>
      <c r="I255" s="59"/>
      <c r="J255" s="59"/>
      <c r="K255" s="72"/>
      <c r="L255" s="59"/>
      <c r="M255" s="59"/>
      <c r="N255" s="72"/>
    </row>
    <row r="256" customFormat="false" ht="15.75" hidden="false" customHeight="false" outlineLevel="0" collapsed="false">
      <c r="A256" s="80" t="n">
        <v>6</v>
      </c>
      <c r="B256" s="68" t="s">
        <v>119</v>
      </c>
      <c r="C256" s="68" t="s">
        <v>42</v>
      </c>
      <c r="D256" s="68" t="s">
        <v>137</v>
      </c>
      <c r="E256" s="68" t="str">
        <f aca="false">C256&amp;D256</f>
        <v>ERNMC12</v>
      </c>
      <c r="F256" s="82" t="n">
        <v>24.083</v>
      </c>
      <c r="G256" s="59"/>
      <c r="H256" s="59"/>
      <c r="I256" s="59"/>
      <c r="J256" s="59"/>
      <c r="K256" s="72"/>
      <c r="L256" s="59"/>
      <c r="M256" s="59"/>
      <c r="N256" s="72"/>
    </row>
    <row r="257" customFormat="false" ht="15.75" hidden="false" customHeight="false" outlineLevel="0" collapsed="false">
      <c r="A257" s="80" t="n">
        <v>6</v>
      </c>
      <c r="B257" s="68" t="s">
        <v>120</v>
      </c>
      <c r="C257" s="68" t="s">
        <v>42</v>
      </c>
      <c r="D257" s="68" t="s">
        <v>138</v>
      </c>
      <c r="E257" s="68" t="str">
        <f aca="false">C257&amp;D257</f>
        <v>ERNMV1</v>
      </c>
      <c r="F257" s="82" t="n">
        <v>24.583</v>
      </c>
      <c r="G257" s="59"/>
      <c r="H257" s="59"/>
      <c r="I257" s="59"/>
      <c r="J257" s="59"/>
      <c r="K257" s="72"/>
      <c r="L257" s="59"/>
      <c r="M257" s="59"/>
      <c r="N257" s="72"/>
    </row>
    <row r="258" customFormat="false" ht="15.75" hidden="false" customHeight="false" outlineLevel="0" collapsed="false">
      <c r="A258" s="80" t="n">
        <v>6</v>
      </c>
      <c r="B258" s="68" t="s">
        <v>121</v>
      </c>
      <c r="C258" s="68" t="s">
        <v>42</v>
      </c>
      <c r="D258" s="68" t="s">
        <v>139</v>
      </c>
      <c r="E258" s="68" t="str">
        <f aca="false">C258&amp;D258</f>
        <v>ERNMV2</v>
      </c>
      <c r="F258" s="82" t="n">
        <v>24.854</v>
      </c>
      <c r="G258" s="59"/>
      <c r="H258" s="59"/>
      <c r="I258" s="59"/>
      <c r="J258" s="59"/>
      <c r="K258" s="72"/>
      <c r="L258" s="59"/>
      <c r="M258" s="59"/>
      <c r="N258" s="72"/>
    </row>
    <row r="259" customFormat="false" ht="15.75" hidden="false" customHeight="false" outlineLevel="0" collapsed="false">
      <c r="A259" s="80" t="n">
        <v>6</v>
      </c>
      <c r="B259" s="68" t="s">
        <v>122</v>
      </c>
      <c r="C259" s="68" t="s">
        <v>42</v>
      </c>
      <c r="D259" s="68" t="s">
        <v>140</v>
      </c>
      <c r="E259" s="68" t="str">
        <f aca="false">C259&amp;D259</f>
        <v>ERNMV3</v>
      </c>
      <c r="F259" s="82" t="n">
        <v>24.784</v>
      </c>
      <c r="G259" s="59"/>
      <c r="H259" s="59"/>
      <c r="I259" s="59"/>
      <c r="J259" s="59"/>
      <c r="K259" s="72"/>
      <c r="L259" s="59"/>
      <c r="M259" s="59"/>
      <c r="N259" s="72"/>
    </row>
    <row r="260" customFormat="false" ht="15.75" hidden="false" customHeight="false" outlineLevel="0" collapsed="false">
      <c r="A260" s="80" t="n">
        <v>6</v>
      </c>
      <c r="B260" s="68" t="s">
        <v>123</v>
      </c>
      <c r="C260" s="68" t="s">
        <v>42</v>
      </c>
      <c r="D260" s="68" t="s">
        <v>141</v>
      </c>
      <c r="E260" s="68" t="str">
        <f aca="false">C260&amp;D260</f>
        <v>ERNMV4</v>
      </c>
      <c r="F260" s="82" t="n">
        <v>24.209</v>
      </c>
      <c r="G260" s="59"/>
      <c r="H260" s="59"/>
      <c r="I260" s="59"/>
      <c r="J260" s="59"/>
      <c r="K260" s="72"/>
      <c r="L260" s="59"/>
      <c r="M260" s="59"/>
      <c r="N260" s="72"/>
    </row>
    <row r="261" customFormat="false" ht="15.75" hidden="false" customHeight="false" outlineLevel="0" collapsed="false">
      <c r="A261" s="80" t="n">
        <v>6</v>
      </c>
      <c r="B261" s="68" t="s">
        <v>124</v>
      </c>
      <c r="C261" s="68" t="s">
        <v>42</v>
      </c>
      <c r="D261" s="68" t="s">
        <v>142</v>
      </c>
      <c r="E261" s="68" t="str">
        <f aca="false">C261&amp;D261</f>
        <v>ERNMV5</v>
      </c>
      <c r="F261" s="82" t="n">
        <v>23.534</v>
      </c>
      <c r="G261" s="59"/>
      <c r="H261" s="59"/>
      <c r="I261" s="59"/>
      <c r="J261" s="59"/>
      <c r="K261" s="72"/>
      <c r="L261" s="59"/>
      <c r="M261" s="59"/>
      <c r="N261" s="72"/>
    </row>
    <row r="262" customFormat="false" ht="15.75" hidden="false" customHeight="false" outlineLevel="0" collapsed="false">
      <c r="A262" s="80" t="n">
        <v>6</v>
      </c>
      <c r="B262" s="68" t="s">
        <v>125</v>
      </c>
      <c r="C262" s="68" t="s">
        <v>42</v>
      </c>
      <c r="D262" s="68" t="s">
        <v>143</v>
      </c>
      <c r="E262" s="68" t="str">
        <f aca="false">C262&amp;D262</f>
        <v>ERNMV7</v>
      </c>
      <c r="F262" s="82" t="n">
        <v>24.973</v>
      </c>
      <c r="G262" s="59"/>
      <c r="H262" s="59"/>
      <c r="I262" s="59"/>
      <c r="J262" s="59"/>
      <c r="K262" s="72"/>
      <c r="L262" s="59"/>
      <c r="M262" s="59"/>
      <c r="N262" s="72"/>
    </row>
    <row r="263" customFormat="false" ht="15.75" hidden="false" customHeight="false" outlineLevel="0" collapsed="false">
      <c r="A263" s="80" t="n">
        <v>6</v>
      </c>
      <c r="B263" s="68" t="s">
        <v>126</v>
      </c>
      <c r="C263" s="68" t="s">
        <v>42</v>
      </c>
      <c r="D263" s="68" t="s">
        <v>144</v>
      </c>
      <c r="E263" s="68" t="str">
        <f aca="false">C263&amp;D263</f>
        <v>ERNMV8</v>
      </c>
      <c r="F263" s="82" t="n">
        <v>24.253</v>
      </c>
      <c r="G263" s="59"/>
      <c r="H263" s="59"/>
      <c r="I263" s="59"/>
      <c r="J263" s="59"/>
      <c r="K263" s="72"/>
      <c r="L263" s="59"/>
      <c r="M263" s="59"/>
      <c r="N263" s="72"/>
    </row>
    <row r="264" customFormat="false" ht="15.75" hidden="false" customHeight="false" outlineLevel="0" collapsed="false">
      <c r="A264" s="80" t="n">
        <v>6</v>
      </c>
      <c r="B264" s="68" t="s">
        <v>127</v>
      </c>
      <c r="C264" s="68" t="s">
        <v>42</v>
      </c>
      <c r="D264" s="68" t="s">
        <v>145</v>
      </c>
      <c r="E264" s="68" t="str">
        <f aca="false">C264&amp;D264</f>
        <v>ERNMV10</v>
      </c>
      <c r="F264" s="82" t="n">
        <v>24.39</v>
      </c>
      <c r="G264" s="59"/>
      <c r="H264" s="59"/>
      <c r="I264" s="59"/>
      <c r="J264" s="59"/>
      <c r="K264" s="72"/>
      <c r="L264" s="59"/>
      <c r="M264" s="59"/>
      <c r="N264" s="72"/>
    </row>
    <row r="265" customFormat="false" ht="15.75" hidden="false" customHeight="false" outlineLevel="0" collapsed="false">
      <c r="A265" s="80" t="n">
        <v>6</v>
      </c>
      <c r="B265" s="68" t="s">
        <v>128</v>
      </c>
      <c r="C265" s="68" t="s">
        <v>42</v>
      </c>
      <c r="D265" s="68" t="s">
        <v>146</v>
      </c>
      <c r="E265" s="68" t="str">
        <f aca="false">C265&amp;D265</f>
        <v>ERNMV12</v>
      </c>
      <c r="F265" s="82" t="n">
        <v>24.773</v>
      </c>
      <c r="G265" s="59"/>
      <c r="H265" s="59"/>
      <c r="I265" s="59"/>
      <c r="J265" s="59"/>
      <c r="K265" s="72"/>
      <c r="L265" s="59"/>
      <c r="M265" s="59"/>
      <c r="N265" s="72"/>
    </row>
    <row r="266" customFormat="false" ht="15.75" hidden="false" customHeight="false" outlineLevel="0" collapsed="false">
      <c r="A266" s="80" t="n">
        <v>7</v>
      </c>
      <c r="B266" s="68" t="s">
        <v>80</v>
      </c>
      <c r="C266" s="68" t="s">
        <v>43</v>
      </c>
      <c r="D266" s="81" t="n">
        <v>1</v>
      </c>
      <c r="E266" s="68" t="str">
        <f aca="false">C266&amp;D266</f>
        <v>OPALIN1</v>
      </c>
      <c r="F266" s="82" t="n">
        <v>26.475</v>
      </c>
      <c r="G266" s="59"/>
      <c r="H266" s="59"/>
      <c r="I266" s="59"/>
      <c r="J266" s="59"/>
      <c r="K266" s="72"/>
      <c r="L266" s="59"/>
      <c r="M266" s="59"/>
      <c r="N266" s="72"/>
    </row>
    <row r="267" customFormat="false" ht="15.75" hidden="false" customHeight="false" outlineLevel="0" collapsed="false">
      <c r="A267" s="80" t="n">
        <v>7</v>
      </c>
      <c r="B267" s="68" t="s">
        <v>85</v>
      </c>
      <c r="C267" s="68" t="s">
        <v>43</v>
      </c>
      <c r="D267" s="81" t="n">
        <v>0.1</v>
      </c>
      <c r="E267" s="68" t="str">
        <f aca="false">C267&amp;D267</f>
        <v>OPALIN0.1</v>
      </c>
      <c r="F267" s="82" t="n">
        <v>29.713</v>
      </c>
      <c r="G267" s="59"/>
      <c r="H267" s="59"/>
      <c r="I267" s="59"/>
      <c r="J267" s="59"/>
      <c r="K267" s="72"/>
      <c r="L267" s="59"/>
      <c r="M267" s="59"/>
      <c r="N267" s="72"/>
    </row>
    <row r="268" customFormat="false" ht="15.75" hidden="false" customHeight="false" outlineLevel="0" collapsed="false">
      <c r="A268" s="80" t="n">
        <v>7</v>
      </c>
      <c r="B268" s="68" t="s">
        <v>86</v>
      </c>
      <c r="C268" s="68" t="s">
        <v>43</v>
      </c>
      <c r="D268" s="81" t="n">
        <v>0.01</v>
      </c>
      <c r="E268" s="68" t="str">
        <f aca="false">C268&amp;D268</f>
        <v>OPALIN0.01</v>
      </c>
      <c r="F268" s="82" t="n">
        <v>32.776</v>
      </c>
      <c r="G268" s="59"/>
      <c r="H268" s="59"/>
      <c r="I268" s="59"/>
      <c r="J268" s="59"/>
      <c r="K268" s="72"/>
      <c r="L268" s="59"/>
      <c r="M268" s="59"/>
      <c r="N268" s="72"/>
    </row>
    <row r="269" customFormat="false" ht="15.75" hidden="false" customHeight="false" outlineLevel="0" collapsed="false">
      <c r="A269" s="80" t="n">
        <v>7</v>
      </c>
      <c r="B269" s="68" t="s">
        <v>87</v>
      </c>
      <c r="C269" s="68" t="s">
        <v>43</v>
      </c>
      <c r="D269" s="84" t="n">
        <v>0.001</v>
      </c>
      <c r="E269" s="68" t="str">
        <f aca="false">C269&amp;D269</f>
        <v>OPALIN0.001</v>
      </c>
      <c r="F269" s="82" t="n">
        <v>35.97</v>
      </c>
      <c r="G269" s="59"/>
      <c r="H269" s="59"/>
      <c r="I269" s="59"/>
      <c r="J269" s="59"/>
      <c r="K269" s="72"/>
      <c r="L269" s="59"/>
      <c r="M269" s="59"/>
      <c r="N269" s="72"/>
    </row>
    <row r="270" customFormat="false" ht="15.75" hidden="false" customHeight="false" outlineLevel="0" collapsed="false">
      <c r="A270" s="80" t="n">
        <v>7</v>
      </c>
      <c r="B270" s="68" t="s">
        <v>89</v>
      </c>
      <c r="C270" s="68" t="s">
        <v>43</v>
      </c>
      <c r="D270" s="68" t="s">
        <v>131</v>
      </c>
      <c r="E270" s="68" t="str">
        <f aca="false">C270&amp;D270</f>
        <v>OPALINC1</v>
      </c>
      <c r="F270" s="82" t="n">
        <v>26.829</v>
      </c>
      <c r="G270" s="59"/>
      <c r="H270" s="59"/>
      <c r="I270" s="59"/>
      <c r="J270" s="59"/>
      <c r="K270" s="72"/>
      <c r="L270" s="59"/>
      <c r="M270" s="59"/>
      <c r="N270" s="72"/>
    </row>
    <row r="271" customFormat="false" ht="15.75" hidden="false" customHeight="false" outlineLevel="0" collapsed="false">
      <c r="A271" s="80" t="n">
        <v>7</v>
      </c>
      <c r="B271" s="68" t="s">
        <v>90</v>
      </c>
      <c r="C271" s="68" t="s">
        <v>43</v>
      </c>
      <c r="D271" s="68" t="s">
        <v>132</v>
      </c>
      <c r="E271" s="68" t="str">
        <f aca="false">C271&amp;D271</f>
        <v>OPALINC2</v>
      </c>
      <c r="F271" s="82" t="n">
        <v>27.075</v>
      </c>
      <c r="G271" s="59"/>
      <c r="H271" s="59"/>
      <c r="I271" s="59"/>
      <c r="J271" s="59"/>
      <c r="K271" s="72"/>
      <c r="L271" s="59"/>
      <c r="M271" s="59"/>
      <c r="N271" s="72"/>
    </row>
    <row r="272" customFormat="false" ht="15.75" hidden="false" customHeight="false" outlineLevel="0" collapsed="false">
      <c r="A272" s="80" t="n">
        <v>7</v>
      </c>
      <c r="B272" s="68" t="s">
        <v>91</v>
      </c>
      <c r="C272" s="68" t="s">
        <v>43</v>
      </c>
      <c r="D272" s="68" t="s">
        <v>133</v>
      </c>
      <c r="E272" s="68" t="str">
        <f aca="false">C272&amp;D272</f>
        <v>OPALINC3</v>
      </c>
      <c r="F272" s="82" t="n">
        <v>26.751</v>
      </c>
      <c r="G272" s="59"/>
      <c r="H272" s="59"/>
      <c r="I272" s="59"/>
      <c r="J272" s="59"/>
      <c r="K272" s="72"/>
      <c r="L272" s="59"/>
      <c r="M272" s="59"/>
      <c r="N272" s="72"/>
    </row>
    <row r="273" customFormat="false" ht="15.75" hidden="false" customHeight="false" outlineLevel="0" collapsed="false">
      <c r="A273" s="80" t="n">
        <v>7</v>
      </c>
      <c r="B273" s="68" t="s">
        <v>92</v>
      </c>
      <c r="C273" s="68" t="s">
        <v>43</v>
      </c>
      <c r="D273" s="68" t="s">
        <v>105</v>
      </c>
      <c r="E273" s="68" t="str">
        <f aca="false">C273&amp;D273</f>
        <v>OPALINC5</v>
      </c>
      <c r="F273" s="82" t="n">
        <v>27.65</v>
      </c>
      <c r="G273" s="59"/>
      <c r="H273" s="59"/>
      <c r="I273" s="59"/>
      <c r="J273" s="59"/>
      <c r="K273" s="72"/>
      <c r="L273" s="59"/>
      <c r="M273" s="59"/>
      <c r="N273" s="72"/>
    </row>
    <row r="274" customFormat="false" ht="15.75" hidden="false" customHeight="false" outlineLevel="0" collapsed="false">
      <c r="A274" s="80" t="n">
        <v>7</v>
      </c>
      <c r="B274" s="68" t="s">
        <v>93</v>
      </c>
      <c r="C274" s="68" t="s">
        <v>43</v>
      </c>
      <c r="D274" s="68" t="s">
        <v>106</v>
      </c>
      <c r="E274" s="68" t="str">
        <f aca="false">C274&amp;D274</f>
        <v>OPALINC6</v>
      </c>
      <c r="F274" s="82" t="n">
        <v>29.144</v>
      </c>
      <c r="G274" s="59"/>
      <c r="H274" s="59"/>
      <c r="I274" s="59"/>
      <c r="J274" s="59"/>
      <c r="K274" s="72"/>
      <c r="L274" s="59"/>
      <c r="M274" s="59"/>
      <c r="N274" s="72"/>
    </row>
    <row r="275" customFormat="false" ht="15.75" hidden="false" customHeight="false" outlineLevel="0" collapsed="false">
      <c r="A275" s="80" t="n">
        <v>7</v>
      </c>
      <c r="B275" s="68" t="s">
        <v>94</v>
      </c>
      <c r="C275" s="68" t="s">
        <v>43</v>
      </c>
      <c r="D275" s="68" t="s">
        <v>134</v>
      </c>
      <c r="E275" s="68" t="str">
        <f aca="false">C275&amp;D275</f>
        <v>OPALINC7</v>
      </c>
      <c r="F275" s="82" t="n">
        <v>26.807</v>
      </c>
      <c r="G275" s="59"/>
      <c r="H275" s="59"/>
      <c r="I275" s="59"/>
      <c r="J275" s="59"/>
      <c r="K275" s="72"/>
      <c r="L275" s="59"/>
      <c r="M275" s="59"/>
      <c r="N275" s="72"/>
    </row>
    <row r="276" customFormat="false" ht="15.75" hidden="false" customHeight="false" outlineLevel="0" collapsed="false">
      <c r="A276" s="80" t="n">
        <v>7</v>
      </c>
      <c r="B276" s="68" t="s">
        <v>95</v>
      </c>
      <c r="C276" s="68" t="s">
        <v>43</v>
      </c>
      <c r="D276" s="68" t="s">
        <v>135</v>
      </c>
      <c r="E276" s="68" t="str">
        <f aca="false">C276&amp;D276</f>
        <v>OPALINC10</v>
      </c>
      <c r="F276" s="82" t="n">
        <v>26.926</v>
      </c>
      <c r="G276" s="59"/>
      <c r="H276" s="59"/>
      <c r="I276" s="59"/>
      <c r="J276" s="59"/>
      <c r="K276" s="72"/>
      <c r="L276" s="59"/>
      <c r="M276" s="59"/>
      <c r="N276" s="72"/>
    </row>
    <row r="277" customFormat="false" ht="15.75" hidden="false" customHeight="false" outlineLevel="0" collapsed="false">
      <c r="A277" s="80" t="n">
        <v>7</v>
      </c>
      <c r="B277" s="68" t="s">
        <v>96</v>
      </c>
      <c r="C277" s="68" t="s">
        <v>43</v>
      </c>
      <c r="D277" s="68" t="s">
        <v>136</v>
      </c>
      <c r="E277" s="68" t="str">
        <f aca="false">C277&amp;D277</f>
        <v>OPALINC11</v>
      </c>
      <c r="F277" s="82" t="n">
        <v>27.519</v>
      </c>
      <c r="G277" s="59"/>
      <c r="H277" s="59"/>
      <c r="I277" s="59"/>
      <c r="J277" s="59"/>
      <c r="K277" s="72"/>
      <c r="L277" s="59"/>
      <c r="M277" s="59"/>
      <c r="N277" s="72"/>
    </row>
    <row r="278" customFormat="false" ht="15.75" hidden="false" customHeight="false" outlineLevel="0" collapsed="false">
      <c r="A278" s="80" t="n">
        <v>7</v>
      </c>
      <c r="B278" s="68" t="s">
        <v>97</v>
      </c>
      <c r="C278" s="68" t="s">
        <v>43</v>
      </c>
      <c r="D278" s="68" t="s">
        <v>137</v>
      </c>
      <c r="E278" s="68" t="str">
        <f aca="false">C278&amp;D278</f>
        <v>OPALINC12</v>
      </c>
      <c r="F278" s="82" t="n">
        <v>27.656</v>
      </c>
      <c r="G278" s="59"/>
      <c r="H278" s="59"/>
      <c r="I278" s="59"/>
      <c r="J278" s="59"/>
      <c r="K278" s="72"/>
      <c r="L278" s="59"/>
      <c r="M278" s="59"/>
      <c r="N278" s="72"/>
    </row>
    <row r="279" customFormat="false" ht="15.75" hidden="false" customHeight="false" outlineLevel="0" collapsed="false">
      <c r="A279" s="80" t="n">
        <v>7</v>
      </c>
      <c r="B279" s="68" t="s">
        <v>98</v>
      </c>
      <c r="C279" s="68" t="s">
        <v>43</v>
      </c>
      <c r="D279" s="68" t="s">
        <v>138</v>
      </c>
      <c r="E279" s="68" t="str">
        <f aca="false">C279&amp;D279</f>
        <v>OPALINV1</v>
      </c>
      <c r="F279" s="82" t="n">
        <v>27.658</v>
      </c>
      <c r="G279" s="59"/>
      <c r="H279" s="59"/>
      <c r="I279" s="59"/>
      <c r="J279" s="59"/>
      <c r="K279" s="72"/>
      <c r="L279" s="59"/>
      <c r="M279" s="59"/>
      <c r="N279" s="72"/>
    </row>
    <row r="280" customFormat="false" ht="15.75" hidden="false" customHeight="false" outlineLevel="0" collapsed="false">
      <c r="A280" s="80" t="n">
        <v>7</v>
      </c>
      <c r="B280" s="68" t="s">
        <v>99</v>
      </c>
      <c r="C280" s="68" t="s">
        <v>43</v>
      </c>
      <c r="D280" s="68" t="s">
        <v>139</v>
      </c>
      <c r="E280" s="68" t="str">
        <f aca="false">C280&amp;D280</f>
        <v>OPALINV2</v>
      </c>
      <c r="F280" s="82" t="n">
        <v>27.537</v>
      </c>
      <c r="G280" s="59"/>
      <c r="H280" s="59"/>
      <c r="I280" s="59"/>
      <c r="J280" s="59"/>
      <c r="K280" s="72"/>
      <c r="L280" s="59"/>
      <c r="M280" s="59"/>
      <c r="N280" s="72"/>
    </row>
    <row r="281" customFormat="false" ht="15.75" hidden="false" customHeight="false" outlineLevel="0" collapsed="false">
      <c r="A281" s="80" t="n">
        <v>7</v>
      </c>
      <c r="B281" s="68" t="s">
        <v>100</v>
      </c>
      <c r="C281" s="68" t="s">
        <v>43</v>
      </c>
      <c r="D281" s="68" t="s">
        <v>140</v>
      </c>
      <c r="E281" s="68" t="str">
        <f aca="false">C281&amp;D281</f>
        <v>OPALINV3</v>
      </c>
      <c r="F281" s="82" t="n">
        <v>27.941</v>
      </c>
      <c r="G281" s="59"/>
      <c r="H281" s="59"/>
      <c r="I281" s="59"/>
      <c r="J281" s="59"/>
      <c r="K281" s="72"/>
      <c r="L281" s="59"/>
      <c r="M281" s="59"/>
      <c r="N281" s="72"/>
    </row>
    <row r="282" customFormat="false" ht="15.75" hidden="false" customHeight="false" outlineLevel="0" collapsed="false">
      <c r="A282" s="80" t="n">
        <v>7</v>
      </c>
      <c r="B282" s="68" t="s">
        <v>101</v>
      </c>
      <c r="C282" s="68" t="s">
        <v>43</v>
      </c>
      <c r="D282" s="68" t="s">
        <v>141</v>
      </c>
      <c r="E282" s="68" t="str">
        <f aca="false">C282&amp;D282</f>
        <v>OPALINV4</v>
      </c>
      <c r="F282" s="82" t="n">
        <v>27.037</v>
      </c>
      <c r="G282" s="59"/>
      <c r="H282" s="59"/>
      <c r="I282" s="59"/>
      <c r="J282" s="59"/>
      <c r="K282" s="72"/>
      <c r="L282" s="59"/>
      <c r="M282" s="59"/>
      <c r="N282" s="72"/>
    </row>
    <row r="283" customFormat="false" ht="15.75" hidden="false" customHeight="false" outlineLevel="0" collapsed="false">
      <c r="A283" s="80" t="n">
        <v>7</v>
      </c>
      <c r="B283" s="68" t="s">
        <v>102</v>
      </c>
      <c r="C283" s="68" t="s">
        <v>43</v>
      </c>
      <c r="D283" s="68" t="s">
        <v>142</v>
      </c>
      <c r="E283" s="68" t="str">
        <f aca="false">C283&amp;D283</f>
        <v>OPALINV5</v>
      </c>
      <c r="F283" s="82" t="n">
        <v>26.375</v>
      </c>
      <c r="G283" s="59"/>
      <c r="H283" s="59"/>
      <c r="I283" s="59"/>
      <c r="J283" s="59"/>
      <c r="K283" s="72"/>
      <c r="L283" s="59"/>
      <c r="M283" s="59"/>
      <c r="N283" s="72"/>
    </row>
    <row r="284" customFormat="false" ht="15.75" hidden="false" customHeight="false" outlineLevel="0" collapsed="false">
      <c r="A284" s="80" t="n">
        <v>7</v>
      </c>
      <c r="B284" s="68" t="s">
        <v>103</v>
      </c>
      <c r="C284" s="68" t="s">
        <v>43</v>
      </c>
      <c r="D284" s="68" t="s">
        <v>143</v>
      </c>
      <c r="E284" s="68" t="str">
        <f aca="false">C284&amp;D284</f>
        <v>OPALINV7</v>
      </c>
      <c r="F284" s="82" t="n">
        <v>27.605</v>
      </c>
      <c r="G284" s="59"/>
      <c r="H284" s="59"/>
      <c r="I284" s="59"/>
      <c r="J284" s="59"/>
      <c r="K284" s="72"/>
      <c r="L284" s="59"/>
      <c r="M284" s="59"/>
      <c r="N284" s="72"/>
    </row>
    <row r="285" customFormat="false" ht="15.75" hidden="false" customHeight="false" outlineLevel="0" collapsed="false">
      <c r="A285" s="80" t="n">
        <v>7</v>
      </c>
      <c r="B285" s="68" t="s">
        <v>104</v>
      </c>
      <c r="C285" s="68" t="s">
        <v>43</v>
      </c>
      <c r="D285" s="68" t="s">
        <v>144</v>
      </c>
      <c r="E285" s="68" t="str">
        <f aca="false">C285&amp;D285</f>
        <v>OPALINV8</v>
      </c>
      <c r="F285" s="82" t="n">
        <v>26.634</v>
      </c>
      <c r="G285" s="59"/>
      <c r="H285" s="59"/>
      <c r="I285" s="59"/>
      <c r="J285" s="59"/>
      <c r="K285" s="72"/>
      <c r="L285" s="59"/>
      <c r="M285" s="59"/>
      <c r="N285" s="72"/>
    </row>
    <row r="286" customFormat="false" ht="15.75" hidden="false" customHeight="false" outlineLevel="0" collapsed="false">
      <c r="A286" s="80" t="n">
        <v>7</v>
      </c>
      <c r="B286" s="68" t="s">
        <v>105</v>
      </c>
      <c r="C286" s="68" t="s">
        <v>43</v>
      </c>
      <c r="D286" s="68" t="s">
        <v>145</v>
      </c>
      <c r="E286" s="68" t="str">
        <f aca="false">C286&amp;D286</f>
        <v>OPALINV10</v>
      </c>
      <c r="F286" s="82" t="n">
        <v>27.419</v>
      </c>
      <c r="G286" s="59"/>
      <c r="H286" s="59"/>
      <c r="I286" s="59"/>
      <c r="J286" s="59"/>
      <c r="K286" s="72"/>
      <c r="L286" s="59"/>
      <c r="M286" s="59"/>
      <c r="N286" s="72"/>
    </row>
    <row r="287" customFormat="false" ht="15.75" hidden="false" customHeight="false" outlineLevel="0" collapsed="false">
      <c r="A287" s="80" t="n">
        <v>7</v>
      </c>
      <c r="B287" s="68" t="s">
        <v>106</v>
      </c>
      <c r="C287" s="68" t="s">
        <v>43</v>
      </c>
      <c r="D287" s="68" t="s">
        <v>146</v>
      </c>
      <c r="E287" s="68" t="str">
        <f aca="false">C287&amp;D287</f>
        <v>OPALINV12</v>
      </c>
      <c r="F287" s="82" t="n">
        <v>27.96</v>
      </c>
      <c r="G287" s="59"/>
      <c r="H287" s="59"/>
      <c r="I287" s="59"/>
      <c r="J287" s="59"/>
      <c r="K287" s="72"/>
      <c r="L287" s="59"/>
      <c r="M287" s="59"/>
      <c r="N287" s="72"/>
    </row>
    <row r="288" customFormat="false" ht="15.75" hidden="false" customHeight="false" outlineLevel="0" collapsed="false">
      <c r="A288" s="80" t="n">
        <v>7</v>
      </c>
      <c r="B288" s="68" t="s">
        <v>107</v>
      </c>
      <c r="C288" s="68" t="s">
        <v>44</v>
      </c>
      <c r="D288" s="81" t="n">
        <v>1</v>
      </c>
      <c r="E288" s="68" t="str">
        <f aca="false">C288&amp;D288</f>
        <v>FGF11</v>
      </c>
      <c r="F288" s="82" t="n">
        <v>22.36</v>
      </c>
      <c r="G288" s="59"/>
      <c r="H288" s="59"/>
      <c r="I288" s="59"/>
      <c r="J288" s="59"/>
      <c r="K288" s="72"/>
      <c r="L288" s="59"/>
      <c r="M288" s="59"/>
      <c r="N288" s="72"/>
    </row>
    <row r="289" customFormat="false" ht="15.75" hidden="false" customHeight="false" outlineLevel="0" collapsed="false">
      <c r="A289" s="80" t="n">
        <v>7</v>
      </c>
      <c r="B289" s="68" t="s">
        <v>108</v>
      </c>
      <c r="C289" s="68" t="s">
        <v>44</v>
      </c>
      <c r="D289" s="81" t="n">
        <v>0.1</v>
      </c>
      <c r="E289" s="68" t="str">
        <f aca="false">C289&amp;D289</f>
        <v>FGF10.1</v>
      </c>
      <c r="F289" s="82" t="n">
        <v>25.662</v>
      </c>
      <c r="G289" s="59"/>
      <c r="H289" s="59"/>
      <c r="I289" s="59"/>
      <c r="J289" s="59"/>
      <c r="K289" s="72"/>
      <c r="L289" s="59"/>
      <c r="M289" s="59"/>
      <c r="N289" s="72"/>
    </row>
    <row r="290" customFormat="false" ht="15.75" hidden="false" customHeight="false" outlineLevel="0" collapsed="false">
      <c r="A290" s="80" t="n">
        <v>7</v>
      </c>
      <c r="B290" s="68" t="s">
        <v>109</v>
      </c>
      <c r="C290" s="68" t="s">
        <v>44</v>
      </c>
      <c r="D290" s="81" t="n">
        <v>0.01</v>
      </c>
      <c r="E290" s="68" t="str">
        <f aca="false">C290&amp;D290</f>
        <v>FGF10.01</v>
      </c>
      <c r="F290" s="82" t="n">
        <v>28.753</v>
      </c>
      <c r="G290" s="59"/>
      <c r="H290" s="59"/>
      <c r="I290" s="59"/>
      <c r="J290" s="59"/>
      <c r="K290" s="72"/>
      <c r="L290" s="59"/>
      <c r="M290" s="59"/>
      <c r="N290" s="72"/>
    </row>
    <row r="291" customFormat="false" ht="15.75" hidden="false" customHeight="false" outlineLevel="0" collapsed="false">
      <c r="A291" s="80" t="n">
        <v>7</v>
      </c>
      <c r="B291" s="68" t="s">
        <v>110</v>
      </c>
      <c r="C291" s="68" t="s">
        <v>44</v>
      </c>
      <c r="D291" s="84" t="n">
        <v>0.001</v>
      </c>
      <c r="E291" s="68" t="str">
        <f aca="false">C291&amp;D291</f>
        <v>FGF10.001</v>
      </c>
      <c r="F291" s="82" t="n">
        <v>32.223</v>
      </c>
      <c r="G291" s="59"/>
      <c r="H291" s="59"/>
      <c r="I291" s="59"/>
      <c r="J291" s="59"/>
      <c r="K291" s="72"/>
      <c r="L291" s="59"/>
      <c r="M291" s="59"/>
      <c r="N291" s="72"/>
    </row>
    <row r="292" customFormat="false" ht="15.75" hidden="false" customHeight="false" outlineLevel="0" collapsed="false">
      <c r="A292" s="80" t="n">
        <v>7</v>
      </c>
      <c r="B292" s="68" t="s">
        <v>111</v>
      </c>
      <c r="C292" s="68" t="s">
        <v>44</v>
      </c>
      <c r="D292" s="68" t="s">
        <v>131</v>
      </c>
      <c r="E292" s="68" t="str">
        <f aca="false">C292&amp;D292</f>
        <v>FGF1C1</v>
      </c>
      <c r="F292" s="82" t="n">
        <v>23.172</v>
      </c>
      <c r="G292" s="59"/>
      <c r="H292" s="59"/>
      <c r="I292" s="59"/>
      <c r="J292" s="59"/>
      <c r="K292" s="72"/>
      <c r="L292" s="59"/>
      <c r="M292" s="59"/>
      <c r="N292" s="72"/>
    </row>
    <row r="293" customFormat="false" ht="15.75" hidden="false" customHeight="false" outlineLevel="0" collapsed="false">
      <c r="A293" s="80" t="n">
        <v>7</v>
      </c>
      <c r="B293" s="68" t="s">
        <v>112</v>
      </c>
      <c r="C293" s="68" t="s">
        <v>44</v>
      </c>
      <c r="D293" s="68" t="s">
        <v>132</v>
      </c>
      <c r="E293" s="68" t="str">
        <f aca="false">C293&amp;D293</f>
        <v>FGF1C2</v>
      </c>
      <c r="F293" s="82" t="n">
        <v>22.946</v>
      </c>
      <c r="G293" s="59"/>
      <c r="H293" s="59"/>
      <c r="I293" s="59"/>
      <c r="J293" s="59"/>
      <c r="K293" s="72"/>
      <c r="L293" s="59"/>
      <c r="M293" s="59"/>
      <c r="N293" s="72"/>
    </row>
    <row r="294" customFormat="false" ht="15.75" hidden="false" customHeight="false" outlineLevel="0" collapsed="false">
      <c r="A294" s="80" t="n">
        <v>7</v>
      </c>
      <c r="B294" s="68" t="s">
        <v>113</v>
      </c>
      <c r="C294" s="68" t="s">
        <v>44</v>
      </c>
      <c r="D294" s="68" t="s">
        <v>133</v>
      </c>
      <c r="E294" s="68" t="str">
        <f aca="false">C294&amp;D294</f>
        <v>FGF1C3</v>
      </c>
      <c r="F294" s="82" t="n">
        <v>23.342</v>
      </c>
      <c r="G294" s="59"/>
      <c r="H294" s="59"/>
      <c r="I294" s="59"/>
      <c r="J294" s="59"/>
      <c r="K294" s="72"/>
      <c r="L294" s="59"/>
      <c r="M294" s="59"/>
      <c r="N294" s="72"/>
    </row>
    <row r="295" customFormat="false" ht="15.75" hidden="false" customHeight="false" outlineLevel="0" collapsed="false">
      <c r="A295" s="80" t="n">
        <v>7</v>
      </c>
      <c r="B295" s="68" t="s">
        <v>114</v>
      </c>
      <c r="C295" s="68" t="s">
        <v>44</v>
      </c>
      <c r="D295" s="68" t="s">
        <v>105</v>
      </c>
      <c r="E295" s="68" t="str">
        <f aca="false">C295&amp;D295</f>
        <v>FGF1C5</v>
      </c>
      <c r="F295" s="82" t="n">
        <v>23.487</v>
      </c>
      <c r="G295" s="59"/>
      <c r="H295" s="59"/>
      <c r="I295" s="59"/>
      <c r="J295" s="59"/>
      <c r="K295" s="72"/>
      <c r="L295" s="59"/>
      <c r="M295" s="59"/>
      <c r="N295" s="72"/>
    </row>
    <row r="296" customFormat="false" ht="15.75" hidden="false" customHeight="false" outlineLevel="0" collapsed="false">
      <c r="A296" s="80" t="n">
        <v>7</v>
      </c>
      <c r="B296" s="68" t="s">
        <v>115</v>
      </c>
      <c r="C296" s="68" t="s">
        <v>44</v>
      </c>
      <c r="D296" s="68" t="s">
        <v>106</v>
      </c>
      <c r="E296" s="68" t="str">
        <f aca="false">C296&amp;D296</f>
        <v>FGF1C6</v>
      </c>
      <c r="F296" s="82" t="n">
        <v>23.828</v>
      </c>
      <c r="G296" s="59"/>
      <c r="H296" s="59"/>
      <c r="I296" s="59"/>
      <c r="J296" s="59"/>
      <c r="K296" s="72"/>
      <c r="L296" s="59"/>
      <c r="M296" s="59"/>
      <c r="N296" s="72"/>
    </row>
    <row r="297" customFormat="false" ht="15.75" hidden="false" customHeight="false" outlineLevel="0" collapsed="false">
      <c r="A297" s="80" t="n">
        <v>7</v>
      </c>
      <c r="B297" s="68" t="s">
        <v>116</v>
      </c>
      <c r="C297" s="68" t="s">
        <v>44</v>
      </c>
      <c r="D297" s="68" t="s">
        <v>134</v>
      </c>
      <c r="E297" s="68" t="str">
        <f aca="false">C297&amp;D297</f>
        <v>FGF1C7</v>
      </c>
      <c r="F297" s="82" t="n">
        <v>22.723</v>
      </c>
      <c r="G297" s="59"/>
      <c r="H297" s="59"/>
      <c r="I297" s="59"/>
      <c r="J297" s="59"/>
      <c r="K297" s="72"/>
      <c r="L297" s="59"/>
      <c r="M297" s="59"/>
      <c r="N297" s="72"/>
    </row>
    <row r="298" customFormat="false" ht="15.75" hidden="false" customHeight="false" outlineLevel="0" collapsed="false">
      <c r="A298" s="80" t="n">
        <v>7</v>
      </c>
      <c r="B298" s="68" t="s">
        <v>117</v>
      </c>
      <c r="C298" s="68" t="s">
        <v>44</v>
      </c>
      <c r="D298" s="68" t="s">
        <v>135</v>
      </c>
      <c r="E298" s="68" t="str">
        <f aca="false">C298&amp;D298</f>
        <v>FGF1C10</v>
      </c>
      <c r="F298" s="82" t="n">
        <v>23.373</v>
      </c>
      <c r="G298" s="59"/>
      <c r="H298" s="59"/>
      <c r="I298" s="59"/>
      <c r="J298" s="59"/>
      <c r="K298" s="72"/>
      <c r="L298" s="59"/>
      <c r="M298" s="59"/>
      <c r="N298" s="72"/>
    </row>
    <row r="299" customFormat="false" ht="15.75" hidden="false" customHeight="false" outlineLevel="0" collapsed="false">
      <c r="A299" s="80" t="n">
        <v>7</v>
      </c>
      <c r="B299" s="68" t="s">
        <v>118</v>
      </c>
      <c r="C299" s="68" t="s">
        <v>44</v>
      </c>
      <c r="D299" s="68" t="s">
        <v>136</v>
      </c>
      <c r="E299" s="68" t="str">
        <f aca="false">C299&amp;D299</f>
        <v>FGF1C11</v>
      </c>
      <c r="F299" s="82" t="n">
        <v>23.604</v>
      </c>
      <c r="G299" s="59"/>
      <c r="H299" s="59"/>
      <c r="I299" s="59"/>
      <c r="J299" s="59"/>
      <c r="K299" s="72"/>
      <c r="L299" s="59"/>
      <c r="M299" s="59"/>
      <c r="N299" s="72"/>
    </row>
    <row r="300" customFormat="false" ht="15.75" hidden="false" customHeight="false" outlineLevel="0" collapsed="false">
      <c r="A300" s="80" t="n">
        <v>7</v>
      </c>
      <c r="B300" s="68" t="s">
        <v>119</v>
      </c>
      <c r="C300" s="68" t="s">
        <v>44</v>
      </c>
      <c r="D300" s="68" t="s">
        <v>137</v>
      </c>
      <c r="E300" s="68" t="str">
        <f aca="false">C300&amp;D300</f>
        <v>FGF1C12</v>
      </c>
      <c r="F300" s="82" t="n">
        <v>23.282</v>
      </c>
      <c r="G300" s="59"/>
      <c r="H300" s="59"/>
      <c r="I300" s="59"/>
      <c r="J300" s="59"/>
      <c r="K300" s="72"/>
      <c r="L300" s="59"/>
      <c r="M300" s="59"/>
      <c r="N300" s="72"/>
    </row>
    <row r="301" customFormat="false" ht="15.75" hidden="false" customHeight="false" outlineLevel="0" collapsed="false">
      <c r="A301" s="80" t="n">
        <v>7</v>
      </c>
      <c r="B301" s="68" t="s">
        <v>120</v>
      </c>
      <c r="C301" s="68" t="s">
        <v>44</v>
      </c>
      <c r="D301" s="68" t="s">
        <v>138</v>
      </c>
      <c r="E301" s="68" t="str">
        <f aca="false">C301&amp;D301</f>
        <v>FGF1V1</v>
      </c>
      <c r="F301" s="82" t="n">
        <v>23.377</v>
      </c>
      <c r="G301" s="59"/>
      <c r="H301" s="59"/>
      <c r="I301" s="59"/>
      <c r="J301" s="59"/>
      <c r="K301" s="72"/>
      <c r="L301" s="59"/>
      <c r="M301" s="59"/>
      <c r="N301" s="72"/>
    </row>
    <row r="302" customFormat="false" ht="15.75" hidden="false" customHeight="false" outlineLevel="0" collapsed="false">
      <c r="A302" s="80" t="n">
        <v>7</v>
      </c>
      <c r="B302" s="68" t="s">
        <v>121</v>
      </c>
      <c r="C302" s="68" t="s">
        <v>44</v>
      </c>
      <c r="D302" s="68" t="s">
        <v>139</v>
      </c>
      <c r="E302" s="68" t="str">
        <f aca="false">C302&amp;D302</f>
        <v>FGF1V2</v>
      </c>
      <c r="F302" s="82" t="n">
        <v>23.041</v>
      </c>
      <c r="G302" s="59"/>
      <c r="H302" s="59"/>
      <c r="I302" s="59"/>
      <c r="J302" s="59"/>
      <c r="K302" s="72"/>
      <c r="L302" s="59"/>
      <c r="M302" s="59"/>
      <c r="N302" s="72"/>
    </row>
    <row r="303" customFormat="false" ht="15.75" hidden="false" customHeight="false" outlineLevel="0" collapsed="false">
      <c r="A303" s="80" t="n">
        <v>7</v>
      </c>
      <c r="B303" s="68" t="s">
        <v>122</v>
      </c>
      <c r="C303" s="68" t="s">
        <v>44</v>
      </c>
      <c r="D303" s="68" t="s">
        <v>140</v>
      </c>
      <c r="E303" s="68" t="str">
        <f aca="false">C303&amp;D303</f>
        <v>FGF1V3</v>
      </c>
      <c r="F303" s="82" t="n">
        <v>23.034</v>
      </c>
      <c r="G303" s="59"/>
      <c r="H303" s="59"/>
      <c r="I303" s="59"/>
      <c r="J303" s="59"/>
      <c r="K303" s="72"/>
      <c r="L303" s="59"/>
      <c r="M303" s="59"/>
      <c r="N303" s="72"/>
    </row>
    <row r="304" customFormat="false" ht="15.75" hidden="false" customHeight="false" outlineLevel="0" collapsed="false">
      <c r="A304" s="80" t="n">
        <v>7</v>
      </c>
      <c r="B304" s="68" t="s">
        <v>123</v>
      </c>
      <c r="C304" s="68" t="s">
        <v>44</v>
      </c>
      <c r="D304" s="68" t="s">
        <v>141</v>
      </c>
      <c r="E304" s="68" t="str">
        <f aca="false">C304&amp;D304</f>
        <v>FGF1V4</v>
      </c>
      <c r="F304" s="82" t="n">
        <v>23.313</v>
      </c>
      <c r="G304" s="59"/>
      <c r="H304" s="59"/>
      <c r="I304" s="59"/>
      <c r="J304" s="59"/>
      <c r="K304" s="72"/>
      <c r="L304" s="59"/>
      <c r="M304" s="59"/>
      <c r="N304" s="72"/>
    </row>
    <row r="305" customFormat="false" ht="15.75" hidden="false" customHeight="false" outlineLevel="0" collapsed="false">
      <c r="A305" s="80" t="n">
        <v>7</v>
      </c>
      <c r="B305" s="68" t="s">
        <v>124</v>
      </c>
      <c r="C305" s="68" t="s">
        <v>44</v>
      </c>
      <c r="D305" s="68" t="s">
        <v>142</v>
      </c>
      <c r="E305" s="68" t="str">
        <f aca="false">C305&amp;D305</f>
        <v>FGF1V5</v>
      </c>
      <c r="F305" s="82" t="n">
        <v>22.295</v>
      </c>
      <c r="G305" s="59"/>
      <c r="H305" s="59"/>
      <c r="I305" s="59"/>
      <c r="J305" s="59"/>
      <c r="K305" s="72"/>
      <c r="L305" s="59"/>
      <c r="M305" s="59"/>
      <c r="N305" s="72"/>
    </row>
    <row r="306" customFormat="false" ht="15.75" hidden="false" customHeight="false" outlineLevel="0" collapsed="false">
      <c r="A306" s="80" t="n">
        <v>7</v>
      </c>
      <c r="B306" s="68" t="s">
        <v>125</v>
      </c>
      <c r="C306" s="68" t="s">
        <v>44</v>
      </c>
      <c r="D306" s="68" t="s">
        <v>143</v>
      </c>
      <c r="E306" s="68" t="str">
        <f aca="false">C306&amp;D306</f>
        <v>FGF1V7</v>
      </c>
      <c r="F306" s="82" t="n">
        <v>22.935</v>
      </c>
      <c r="G306" s="59"/>
      <c r="H306" s="59"/>
      <c r="I306" s="59"/>
      <c r="J306" s="59"/>
      <c r="K306" s="72"/>
      <c r="L306" s="59"/>
      <c r="M306" s="59"/>
      <c r="N306" s="72"/>
    </row>
    <row r="307" customFormat="false" ht="15.75" hidden="false" customHeight="false" outlineLevel="0" collapsed="false">
      <c r="A307" s="80" t="n">
        <v>7</v>
      </c>
      <c r="B307" s="68" t="s">
        <v>126</v>
      </c>
      <c r="C307" s="68" t="s">
        <v>44</v>
      </c>
      <c r="D307" s="68" t="s">
        <v>144</v>
      </c>
      <c r="E307" s="68" t="str">
        <f aca="false">C307&amp;D307</f>
        <v>FGF1V8</v>
      </c>
      <c r="F307" s="82" t="n">
        <v>23.047</v>
      </c>
      <c r="G307" s="59"/>
      <c r="H307" s="59"/>
      <c r="I307" s="59"/>
      <c r="J307" s="59"/>
      <c r="K307" s="72"/>
      <c r="L307" s="59"/>
      <c r="M307" s="59"/>
      <c r="N307" s="72"/>
    </row>
    <row r="308" customFormat="false" ht="15.75" hidden="false" customHeight="false" outlineLevel="0" collapsed="false">
      <c r="A308" s="80" t="n">
        <v>7</v>
      </c>
      <c r="B308" s="68" t="s">
        <v>127</v>
      </c>
      <c r="C308" s="68" t="s">
        <v>44</v>
      </c>
      <c r="D308" s="68" t="s">
        <v>145</v>
      </c>
      <c r="E308" s="68" t="str">
        <f aca="false">C308&amp;D308</f>
        <v>FGF1V10</v>
      </c>
      <c r="F308" s="82" t="n">
        <v>23.225</v>
      </c>
      <c r="G308" s="59"/>
      <c r="H308" s="59"/>
      <c r="I308" s="59"/>
      <c r="J308" s="59"/>
      <c r="K308" s="72"/>
      <c r="L308" s="59"/>
      <c r="M308" s="59"/>
      <c r="N308" s="72"/>
    </row>
    <row r="309" customFormat="false" ht="15.75" hidden="false" customHeight="false" outlineLevel="0" collapsed="false">
      <c r="A309" s="89" t="n">
        <v>7</v>
      </c>
      <c r="B309" s="86" t="s">
        <v>128</v>
      </c>
      <c r="C309" s="86" t="s">
        <v>44</v>
      </c>
      <c r="D309" s="86" t="s">
        <v>146</v>
      </c>
      <c r="E309" s="86" t="str">
        <f aca="false">C309&amp;D309</f>
        <v>FGF1V12</v>
      </c>
      <c r="F309" s="88" t="n">
        <v>23.562</v>
      </c>
      <c r="G309" s="59"/>
      <c r="H309" s="59"/>
      <c r="I309" s="59"/>
      <c r="J309" s="59"/>
      <c r="K309" s="72"/>
      <c r="L309" s="59"/>
      <c r="M309" s="59"/>
      <c r="N309" s="72"/>
    </row>
  </sheetData>
  <autoFilter ref="A1:F309"/>
  <mergeCells count="1">
    <mergeCell ref="M2:N3"/>
  </mergeCells>
  <conditionalFormatting sqref="H2">
    <cfRule type="expression" priority="2" aboveAverage="0" equalAverage="0" bottom="0" percent="0" rank="0" text="" dxfId="2">
      <formula>LEN(TRIM(H2))&gt;0</formula>
    </cfRule>
  </conditionalFormatting>
  <dataValidations count="1">
    <dataValidation allowBlank="true" errorStyle="stop" operator="between" showDropDown="false" showErrorMessage="false" showInputMessage="false" sqref="H2" type="list">
      <formula1>'GENELISTDATA INIGUEZ'!$A:$A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900"/>
    <outlinePr summaryBelow="0"/>
    <pageSetUpPr fitToPage="false"/>
  </sheetPr>
  <dimension ref="A1:AJ19"/>
  <sheetViews>
    <sheetView showFormulas="false" showGridLines="true" showRowColHeaders="true" showZeros="true" rightToLeft="false" tabSelected="false" showOutlineSymbols="true" defaultGridColor="true" view="normal" topLeftCell="AJ1" colorId="64" zoomScale="75" zoomScaleNormal="75" zoomScalePageLayoutView="100" workbookViewId="0">
      <selection pane="topLeft" activeCell="Y3" activeCellId="0" sqref="Y3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0" width="14.24"/>
    <col collapsed="false" customWidth="true" hidden="false" outlineLevel="0" max="2" min="2" style="0" width="8.77"/>
    <col collapsed="false" customWidth="true" hidden="false" outlineLevel="0" max="4" min="4" style="0" width="3.8"/>
    <col collapsed="false" customWidth="true" hidden="false" outlineLevel="0" max="5" min="5" style="0" width="7.81"/>
    <col collapsed="false" customWidth="true" hidden="false" outlineLevel="0" max="7" min="6" style="0" width="7.57"/>
    <col collapsed="false" customWidth="true" hidden="false" outlineLevel="0" max="8" min="8" style="0" width="7.69"/>
    <col collapsed="false" customWidth="true" hidden="false" outlineLevel="0" max="9" min="9" style="0" width="10.24"/>
    <col collapsed="false" customWidth="true" hidden="false" outlineLevel="0" max="10" min="10" style="0" width="8.3"/>
    <col collapsed="false" customWidth="true" hidden="false" outlineLevel="0" max="11" min="11" style="0" width="9.14"/>
    <col collapsed="false" customWidth="true" hidden="false" outlineLevel="0" max="12" min="12" style="0" width="7.57"/>
    <col collapsed="false" customWidth="true" hidden="false" outlineLevel="0" max="13" min="13" style="0" width="8.41"/>
    <col collapsed="false" customWidth="true" hidden="false" outlineLevel="0" max="14" min="14" style="0" width="7.57"/>
    <col collapsed="false" customWidth="true" hidden="false" outlineLevel="0" max="15" min="15" style="0" width="9.39"/>
    <col collapsed="false" customWidth="true" hidden="false" outlineLevel="0" max="16" min="16" style="0" width="8.05"/>
    <col collapsed="false" customWidth="true" hidden="false" outlineLevel="0" max="17" min="17" style="0" width="7.57"/>
    <col collapsed="false" customWidth="true" hidden="false" outlineLevel="0" max="18" min="18" style="0" width="9.14"/>
    <col collapsed="false" customWidth="true" hidden="false" outlineLevel="0" max="19" min="19" style="0" width="7.57"/>
    <col collapsed="false" customWidth="true" hidden="false" outlineLevel="0" max="21" min="21" style="0" width="3.8"/>
    <col collapsed="false" customWidth="true" hidden="false" outlineLevel="0" max="22" min="22" style="0" width="7.81"/>
    <col collapsed="false" customWidth="true" hidden="false" outlineLevel="0" max="24" min="23" style="0" width="7.57"/>
    <col collapsed="false" customWidth="true" hidden="false" outlineLevel="0" max="25" min="25" style="0" width="7.69"/>
    <col collapsed="false" customWidth="true" hidden="false" outlineLevel="0" max="26" min="26" style="0" width="10.24"/>
    <col collapsed="false" customWidth="true" hidden="false" outlineLevel="0" max="27" min="27" style="0" width="8.3"/>
    <col collapsed="false" customWidth="true" hidden="false" outlineLevel="0" max="28" min="28" style="0" width="8.05"/>
    <col collapsed="false" customWidth="true" hidden="false" outlineLevel="0" max="29" min="29" style="0" width="7.57"/>
    <col collapsed="false" customWidth="true" hidden="false" outlineLevel="0" max="30" min="30" style="0" width="8.41"/>
    <col collapsed="false" customWidth="true" hidden="false" outlineLevel="0" max="31" min="31" style="0" width="7.57"/>
    <col collapsed="false" customWidth="true" hidden="false" outlineLevel="0" max="32" min="32" style="0" width="9.39"/>
    <col collapsed="false" customWidth="true" hidden="false" outlineLevel="0" max="33" min="33" style="0" width="8.05"/>
    <col collapsed="false" customWidth="true" hidden="false" outlineLevel="0" max="34" min="34" style="0" width="7.57"/>
    <col collapsed="false" customWidth="true" hidden="false" outlineLevel="0" max="35" min="35" style="0" width="9.14"/>
    <col collapsed="false" customWidth="true" hidden="false" outlineLevel="0" max="36" min="36" style="0" width="7.57"/>
  </cols>
  <sheetData>
    <row r="1" customFormat="false" ht="15.75" hidden="false" customHeight="false" outlineLevel="0" collapsed="false">
      <c r="A1" s="100"/>
      <c r="B1" s="100" t="s">
        <v>32</v>
      </c>
      <c r="C1" s="101"/>
      <c r="D1" s="102" t="s">
        <v>157</v>
      </c>
      <c r="E1" s="103" t="s">
        <v>22</v>
      </c>
      <c r="F1" s="100" t="s">
        <v>33</v>
      </c>
      <c r="G1" s="104" t="s">
        <v>34</v>
      </c>
      <c r="H1" s="100" t="s">
        <v>35</v>
      </c>
      <c r="I1" s="104" t="s">
        <v>36</v>
      </c>
      <c r="J1" s="103" t="s">
        <v>37</v>
      </c>
      <c r="K1" s="105" t="s">
        <v>158</v>
      </c>
      <c r="L1" s="103" t="s">
        <v>38</v>
      </c>
      <c r="M1" s="105" t="s">
        <v>159</v>
      </c>
      <c r="N1" s="100" t="s">
        <v>39</v>
      </c>
      <c r="O1" s="104" t="s">
        <v>40</v>
      </c>
      <c r="P1" s="100" t="s">
        <v>41</v>
      </c>
      <c r="Q1" s="104" t="s">
        <v>42</v>
      </c>
      <c r="R1" s="100" t="s">
        <v>43</v>
      </c>
      <c r="S1" s="106" t="s">
        <v>44</v>
      </c>
      <c r="T1" s="101"/>
      <c r="U1" s="107" t="s">
        <v>160</v>
      </c>
      <c r="V1" s="103" t="s">
        <v>22</v>
      </c>
      <c r="W1" s="100" t="s">
        <v>33</v>
      </c>
      <c r="X1" s="104" t="s">
        <v>34</v>
      </c>
      <c r="Y1" s="100" t="s">
        <v>35</v>
      </c>
      <c r="Z1" s="104" t="s">
        <v>36</v>
      </c>
      <c r="AA1" s="103" t="s">
        <v>37</v>
      </c>
      <c r="AB1" s="105" t="s">
        <v>161</v>
      </c>
      <c r="AC1" s="103" t="s">
        <v>38</v>
      </c>
      <c r="AD1" s="105" t="s">
        <v>159</v>
      </c>
      <c r="AE1" s="100" t="s">
        <v>39</v>
      </c>
      <c r="AF1" s="104" t="s">
        <v>40</v>
      </c>
      <c r="AG1" s="100" t="s">
        <v>41</v>
      </c>
      <c r="AH1" s="104" t="s">
        <v>42</v>
      </c>
      <c r="AI1" s="100" t="s">
        <v>43</v>
      </c>
      <c r="AJ1" s="106" t="s">
        <v>44</v>
      </c>
    </row>
    <row r="2" customFormat="false" ht="15.75" hidden="false" customHeight="false" outlineLevel="0" collapsed="false">
      <c r="A2" s="108" t="s">
        <v>3</v>
      </c>
      <c r="B2" s="109" t="n">
        <v>1.03448358883146</v>
      </c>
      <c r="C2" s="110"/>
      <c r="D2" s="102"/>
      <c r="E2" s="111" t="n">
        <v>0.573760173066293</v>
      </c>
      <c r="F2" s="109" t="n">
        <v>0.485047700611933</v>
      </c>
      <c r="G2" s="112" t="n">
        <v>0.977575901315958</v>
      </c>
      <c r="H2" s="109" t="n">
        <v>0.45679162015468</v>
      </c>
      <c r="I2" s="112" t="n">
        <v>0.934080422162435</v>
      </c>
      <c r="J2" s="111" t="n">
        <v>3.00867444829566</v>
      </c>
      <c r="K2" s="113" t="n">
        <v>0.500271622720609</v>
      </c>
      <c r="L2" s="111" t="n">
        <v>0.688122310851646</v>
      </c>
      <c r="M2" s="113" t="n">
        <v>0.534907549652313</v>
      </c>
      <c r="N2" s="109" t="n">
        <v>0.664060860014903</v>
      </c>
      <c r="O2" s="112" t="n">
        <v>0.506238332722502</v>
      </c>
      <c r="P2" s="109" t="n">
        <v>0.393024727543073</v>
      </c>
      <c r="Q2" s="112" t="n">
        <v>1.43445271262592</v>
      </c>
      <c r="R2" s="109" t="n">
        <v>0.787012491548207</v>
      </c>
      <c r="S2" s="114" t="n">
        <v>0.558642191778192</v>
      </c>
      <c r="T2" s="110"/>
      <c r="U2" s="107"/>
      <c r="V2" s="111" t="n">
        <f aca="false">E2/$B2</f>
        <v>0.554634388849424</v>
      </c>
      <c r="W2" s="109" t="n">
        <f aca="false">F2/$B2</f>
        <v>0.468879067632034</v>
      </c>
      <c r="X2" s="112" t="n">
        <f aca="false">G2/$B2</f>
        <v>0.944989279549827</v>
      </c>
      <c r="Y2" s="109" t="n">
        <f aca="false">H2/$B2</f>
        <v>0.441564878444005</v>
      </c>
      <c r="Z2" s="112" t="n">
        <f aca="false">I2/$B2</f>
        <v>0.902943683444571</v>
      </c>
      <c r="AA2" s="111" t="n">
        <f aca="false">J2/$B2</f>
        <v>2.90838296593398</v>
      </c>
      <c r="AB2" s="113" t="n">
        <f aca="false">K2/$B2</f>
        <v>0.483595513859926</v>
      </c>
      <c r="AC2" s="111" t="n">
        <f aca="false">L2/$B2</f>
        <v>0.665184366654808</v>
      </c>
      <c r="AD2" s="113" t="n">
        <f aca="false">M2/$B2</f>
        <v>0.517076883023867</v>
      </c>
      <c r="AE2" s="109" t="n">
        <f aca="false">N2/$B2</f>
        <v>0.641924982845809</v>
      </c>
      <c r="AF2" s="112" t="n">
        <f aca="false">O2/$B2</f>
        <v>0.489363328899537</v>
      </c>
      <c r="AG2" s="109" t="n">
        <f aca="false">P2/$B2</f>
        <v>0.379923598388864</v>
      </c>
      <c r="AH2" s="112" t="n">
        <f aca="false">Q2/$B2</f>
        <v>1.38663650937785</v>
      </c>
      <c r="AI2" s="109" t="n">
        <f aca="false">R2/$B2</f>
        <v>0.760778131277277</v>
      </c>
      <c r="AJ2" s="114" t="n">
        <f aca="false">S2/$B2</f>
        <v>0.540020351999233</v>
      </c>
    </row>
    <row r="3" customFormat="false" ht="15.75" hidden="false" customHeight="false" outlineLevel="0" collapsed="false">
      <c r="A3" s="115" t="s">
        <v>4</v>
      </c>
      <c r="B3" s="116" t="n">
        <v>0.895540499240341</v>
      </c>
      <c r="C3" s="117"/>
      <c r="D3" s="102"/>
      <c r="E3" s="118" t="n">
        <v>0.779898403058954</v>
      </c>
      <c r="F3" s="116" t="n">
        <v>0.868384623055566</v>
      </c>
      <c r="G3" s="119" t="n">
        <v>0.462131257983568</v>
      </c>
      <c r="H3" s="116" t="n">
        <v>0.625384012615424</v>
      </c>
      <c r="I3" s="119" t="n">
        <v>0.95781967213645</v>
      </c>
      <c r="J3" s="118" t="n">
        <v>2.42753000930115</v>
      </c>
      <c r="K3" s="120" t="n">
        <v>0.423808545842215</v>
      </c>
      <c r="L3" s="118" t="n">
        <v>0.485080157096295</v>
      </c>
      <c r="M3" s="120" t="n">
        <v>0.333659921688446</v>
      </c>
      <c r="N3" s="116" t="n">
        <v>0.429479572628729</v>
      </c>
      <c r="O3" s="119" t="n">
        <v>0.908371094319164</v>
      </c>
      <c r="P3" s="116" t="n">
        <v>0.525132088271695</v>
      </c>
      <c r="Q3" s="119" t="n">
        <v>0.95763408797764</v>
      </c>
      <c r="R3" s="116" t="n">
        <v>0.657677981514064</v>
      </c>
      <c r="S3" s="121" t="n">
        <v>0.655024456684422</v>
      </c>
      <c r="T3" s="117"/>
      <c r="U3" s="107"/>
      <c r="V3" s="118" t="n">
        <f aca="false">E3/$B3</f>
        <v>0.870868937496984</v>
      </c>
      <c r="W3" s="116" t="n">
        <f aca="false">F3/$B3</f>
        <v>0.969676551526357</v>
      </c>
      <c r="X3" s="119" t="n">
        <f aca="false">G3/$B3</f>
        <v>0.5160361350219</v>
      </c>
      <c r="Y3" s="116" t="n">
        <f aca="false">H3/$B3</f>
        <v>0.698331357594568</v>
      </c>
      <c r="Z3" s="119" t="n">
        <f aca="false">I3/$B3</f>
        <v>1.06954366993892</v>
      </c>
      <c r="AA3" s="118" t="n">
        <f aca="false">J3/$B3</f>
        <v>2.71068702237403</v>
      </c>
      <c r="AB3" s="120" t="n">
        <f aca="false">K3/$B3</f>
        <v>0.47324330524607</v>
      </c>
      <c r="AC3" s="118" t="n">
        <f aca="false">L3/$B3</f>
        <v>0.541661887438674</v>
      </c>
      <c r="AD3" s="120" t="n">
        <f aca="false">M3/$B3</f>
        <v>0.372579377450243</v>
      </c>
      <c r="AE3" s="116" t="n">
        <f aca="false">N3/$B3</f>
        <v>0.47957582375453</v>
      </c>
      <c r="AF3" s="119" t="n">
        <f aca="false">O3/$B3</f>
        <v>1.01432720808239</v>
      </c>
      <c r="AG3" s="116" t="n">
        <f aca="false">P3/$B3</f>
        <v>0.586385639417925</v>
      </c>
      <c r="AH3" s="119" t="n">
        <f aca="false">Q3/$B3</f>
        <v>1.069336438486</v>
      </c>
      <c r="AI3" s="116" t="n">
        <f aca="false">R3/$B3</f>
        <v>0.734392226897557</v>
      </c>
      <c r="AJ3" s="121" t="n">
        <f aca="false">S3/$B3</f>
        <v>0.731429184096151</v>
      </c>
    </row>
    <row r="4" customFormat="false" ht="15.75" hidden="false" customHeight="false" outlineLevel="0" collapsed="false">
      <c r="A4" s="115" t="s">
        <v>5</v>
      </c>
      <c r="B4" s="116" t="n">
        <v>0.682505501528954</v>
      </c>
      <c r="C4" s="117"/>
      <c r="D4" s="102"/>
      <c r="E4" s="118" t="n">
        <v>0.279706555074847</v>
      </c>
      <c r="F4" s="116" t="n">
        <v>0.48838247320319</v>
      </c>
      <c r="G4" s="119" t="n">
        <v>0.430439976477074</v>
      </c>
      <c r="H4" s="116" t="n">
        <v>0.50675296965557</v>
      </c>
      <c r="I4" s="119" t="n">
        <v>0.60092130210316</v>
      </c>
      <c r="J4" s="118" t="n">
        <v>3.00596248765626</v>
      </c>
      <c r="K4" s="120" t="n">
        <v>0.499923089787715</v>
      </c>
      <c r="L4" s="118" t="n">
        <v>0.735160225831932</v>
      </c>
      <c r="M4" s="120" t="n">
        <v>0.584845240261428</v>
      </c>
      <c r="N4" s="116" t="n">
        <v>0.710529099686269</v>
      </c>
      <c r="O4" s="119" t="n">
        <v>0.58329696139971</v>
      </c>
      <c r="P4" s="116" t="n">
        <v>0.41546058971495</v>
      </c>
      <c r="Q4" s="119" t="n">
        <v>2.09989628562227</v>
      </c>
      <c r="R4" s="116" t="n">
        <v>0.833111806338338</v>
      </c>
      <c r="S4" s="121" t="n">
        <v>0.495607611094832</v>
      </c>
      <c r="T4" s="117"/>
      <c r="U4" s="107"/>
      <c r="V4" s="118" t="n">
        <f aca="false">E4/$B4</f>
        <v>0.409823150799878</v>
      </c>
      <c r="W4" s="116" t="n">
        <f aca="false">F4/$B4</f>
        <v>0.715572947191065</v>
      </c>
      <c r="X4" s="119" t="n">
        <f aca="false">G4/$B4</f>
        <v>0.630676200430324</v>
      </c>
      <c r="Y4" s="116" t="n">
        <f aca="false">H4/$B4</f>
        <v>0.742489208541671</v>
      </c>
      <c r="Z4" s="119" t="n">
        <f aca="false">I4/$B4</f>
        <v>0.880463675028218</v>
      </c>
      <c r="AA4" s="118" t="n">
        <f aca="false">J4/$B4</f>
        <v>4.40430513881907</v>
      </c>
      <c r="AB4" s="120" t="n">
        <f aca="false">K4/$B4</f>
        <v>0.732482139217609</v>
      </c>
      <c r="AC4" s="118" t="n">
        <f aca="false">L4/$B4</f>
        <v>1.07714915731085</v>
      </c>
      <c r="AD4" s="120" t="n">
        <f aca="false">M4/$B4</f>
        <v>0.856909195532128</v>
      </c>
      <c r="AE4" s="116" t="n">
        <f aca="false">N4/$B4</f>
        <v>1.0410598861028</v>
      </c>
      <c r="AF4" s="119" t="n">
        <f aca="false">O4/$B4</f>
        <v>0.854640673361612</v>
      </c>
      <c r="AG4" s="116" t="n">
        <f aca="false">P4/$B4</f>
        <v>0.608728557915258</v>
      </c>
      <c r="AH4" s="119" t="n">
        <f aca="false">Q4/$B4</f>
        <v>3.07674631327963</v>
      </c>
      <c r="AI4" s="116" t="n">
        <f aca="false">R4/$B4</f>
        <v>1.22066679971369</v>
      </c>
      <c r="AJ4" s="121" t="n">
        <f aca="false">S4/$B4</f>
        <v>0.726159144482451</v>
      </c>
    </row>
    <row r="5" customFormat="false" ht="15.75" hidden="false" customHeight="false" outlineLevel="0" collapsed="false">
      <c r="A5" s="115" t="s">
        <v>6</v>
      </c>
      <c r="B5" s="116" t="n">
        <v>0.335802148205783</v>
      </c>
      <c r="C5" s="117"/>
      <c r="D5" s="102"/>
      <c r="E5" s="118" t="n">
        <v>0.188625368456372</v>
      </c>
      <c r="F5" s="116" t="n">
        <v>0.212578744788797</v>
      </c>
      <c r="G5" s="119" t="n">
        <v>0.147859466855391</v>
      </c>
      <c r="H5" s="116" t="n">
        <v>0.304707676519583</v>
      </c>
      <c r="I5" s="119" t="n">
        <v>0.341258755205344</v>
      </c>
      <c r="J5" s="118" t="n">
        <v>1.75142085283726</v>
      </c>
      <c r="K5" s="120" t="n">
        <v>0.329307867463292</v>
      </c>
      <c r="L5" s="118" t="n">
        <v>0.455245645825954</v>
      </c>
      <c r="M5" s="120" t="n">
        <v>0.306261426183698</v>
      </c>
      <c r="N5" s="116" t="n">
        <v>0.381205806098784</v>
      </c>
      <c r="O5" s="119" t="n">
        <v>0.36844117064616</v>
      </c>
      <c r="P5" s="116" t="n">
        <v>0.321357292554401</v>
      </c>
      <c r="Q5" s="119" t="n">
        <v>1.03031948872785</v>
      </c>
      <c r="R5" s="116" t="n">
        <v>0.432285103691793</v>
      </c>
      <c r="S5" s="121" t="n">
        <v>0.447495464220775</v>
      </c>
      <c r="T5" s="117"/>
      <c r="U5" s="107"/>
      <c r="V5" s="118" t="n">
        <f aca="false">E5/$B5</f>
        <v>0.561715788490966</v>
      </c>
      <c r="W5" s="116" t="n">
        <f aca="false">F5/$B5</f>
        <v>0.633047602359369</v>
      </c>
      <c r="X5" s="119" t="n">
        <f aca="false">G5/$B5</f>
        <v>0.440317215495539</v>
      </c>
      <c r="Y5" s="116" t="n">
        <f aca="false">H5/$B5</f>
        <v>0.90740240390855</v>
      </c>
      <c r="Z5" s="119" t="n">
        <f aca="false">I5/$B5</f>
        <v>1.0162494701976</v>
      </c>
      <c r="AA5" s="118" t="n">
        <f aca="false">J5/$B5</f>
        <v>5.21563325962991</v>
      </c>
      <c r="AB5" s="120" t="n">
        <f aca="false">K5/$B5</f>
        <v>0.980660395482308</v>
      </c>
      <c r="AC5" s="118" t="n">
        <f aca="false">L5/$B5</f>
        <v>1.3556960497673</v>
      </c>
      <c r="AD5" s="120" t="n">
        <f aca="false">M5/$B5</f>
        <v>0.912029383433298</v>
      </c>
      <c r="AE5" s="116" t="n">
        <f aca="false">N5/$B5</f>
        <v>1.13520955162317</v>
      </c>
      <c r="AF5" s="119" t="n">
        <f aca="false">O5/$B5</f>
        <v>1.09719718177733</v>
      </c>
      <c r="AG5" s="116" t="n">
        <f aca="false">P5/$B5</f>
        <v>0.956984028456748</v>
      </c>
      <c r="AH5" s="119" t="n">
        <f aca="false">Q5/$B5</f>
        <v>3.0682337627467</v>
      </c>
      <c r="AI5" s="116" t="n">
        <f aca="false">R5/$B5</f>
        <v>1.28732084056497</v>
      </c>
      <c r="AJ5" s="121" t="n">
        <f aca="false">S5/$B5</f>
        <v>1.33261644278268</v>
      </c>
    </row>
    <row r="6" customFormat="false" ht="15.75" hidden="false" customHeight="false" outlineLevel="0" collapsed="false">
      <c r="A6" s="115" t="s">
        <v>7</v>
      </c>
      <c r="B6" s="116" t="n">
        <v>0.130037592135086</v>
      </c>
      <c r="C6" s="117"/>
      <c r="D6" s="102"/>
      <c r="E6" s="118" t="n">
        <v>0.0352092187972422</v>
      </c>
      <c r="F6" s="116" t="n">
        <v>0.0501486453160444</v>
      </c>
      <c r="G6" s="119" t="n">
        <v>0.197318831887196</v>
      </c>
      <c r="H6" s="116" t="n">
        <v>0.111693577385215</v>
      </c>
      <c r="I6" s="119" t="n">
        <v>0.139529444293195</v>
      </c>
      <c r="J6" s="118" t="n">
        <v>1.25453648433627</v>
      </c>
      <c r="K6" s="120" t="n">
        <v>0.254456248385996</v>
      </c>
      <c r="L6" s="118" t="n">
        <v>0.153270859904881</v>
      </c>
      <c r="M6" s="120" t="n">
        <v>0.0704548523679068</v>
      </c>
      <c r="N6" s="116" t="n">
        <v>0.401951983261992</v>
      </c>
      <c r="O6" s="119" t="n">
        <v>0.129421363366696</v>
      </c>
      <c r="P6" s="116" t="n">
        <v>0.154827992448541</v>
      </c>
      <c r="Q6" s="119" t="n">
        <v>0.811255610542896</v>
      </c>
      <c r="R6" s="116" t="n">
        <v>0.145296559699025</v>
      </c>
      <c r="S6" s="121" t="n">
        <v>0.35195833041807</v>
      </c>
      <c r="T6" s="117"/>
      <c r="U6" s="107"/>
      <c r="V6" s="118" t="n">
        <f aca="false">E6/$B6</f>
        <v>0.270761848317416</v>
      </c>
      <c r="W6" s="116" t="n">
        <f aca="false">F6/$B6</f>
        <v>0.385647292391794</v>
      </c>
      <c r="X6" s="119" t="n">
        <f aca="false">G6/$B6</f>
        <v>1.51739838186343</v>
      </c>
      <c r="Y6" s="116" t="n">
        <f aca="false">H6/$B6</f>
        <v>0.85893298661809</v>
      </c>
      <c r="Z6" s="119" t="n">
        <f aca="false">I6/$B6</f>
        <v>1.0729931399241</v>
      </c>
      <c r="AA6" s="118" t="n">
        <f aca="false">J6/$B6</f>
        <v>9.64749088119863</v>
      </c>
      <c r="AB6" s="120" t="n">
        <f aca="false">K6/$B6</f>
        <v>1.95678991134856</v>
      </c>
      <c r="AC6" s="118" t="n">
        <f aca="false">L6/$B6</f>
        <v>1.17866577955134</v>
      </c>
      <c r="AD6" s="120" t="n">
        <f aca="false">M6/$B6</f>
        <v>0.541803729299421</v>
      </c>
      <c r="AE6" s="116" t="n">
        <f aca="false">N6/$B6</f>
        <v>3.0910444946138</v>
      </c>
      <c r="AF6" s="119" t="n">
        <f aca="false">O6/$B6</f>
        <v>0.995261149039499</v>
      </c>
      <c r="AG6" s="116" t="n">
        <f aca="false">P6/$B6</f>
        <v>1.19064025953127</v>
      </c>
      <c r="AH6" s="119" t="n">
        <f aca="false">Q6/$B6</f>
        <v>6.23862374889366</v>
      </c>
      <c r="AI6" s="116" t="n">
        <f aca="false">R6/$B6</f>
        <v>1.11734274153652</v>
      </c>
      <c r="AJ6" s="121" t="n">
        <f aca="false">S6/$B6</f>
        <v>2.70658910734403</v>
      </c>
    </row>
    <row r="7" customFormat="false" ht="15.75" hidden="false" customHeight="false" outlineLevel="0" collapsed="false">
      <c r="A7" s="115" t="s">
        <v>8</v>
      </c>
      <c r="B7" s="116" t="n">
        <v>0.684419596035463</v>
      </c>
      <c r="C7" s="117"/>
      <c r="D7" s="102"/>
      <c r="E7" s="118" t="n">
        <v>0.530571939087624</v>
      </c>
      <c r="F7" s="116" t="n">
        <v>0.450142683276379</v>
      </c>
      <c r="G7" s="119" t="n">
        <v>0.515038431805786</v>
      </c>
      <c r="H7" s="116" t="n">
        <v>0.687612948791795</v>
      </c>
      <c r="I7" s="119" t="n">
        <v>0.685942324154776</v>
      </c>
      <c r="J7" s="118" t="n">
        <v>4.15136656515786</v>
      </c>
      <c r="K7" s="120" t="n">
        <v>0.641593724347974</v>
      </c>
      <c r="L7" s="118" t="n">
        <v>0.582197950791679</v>
      </c>
      <c r="M7" s="120" t="n">
        <v>0.426862304304436</v>
      </c>
      <c r="N7" s="116" t="n">
        <v>0.796608805276842</v>
      </c>
      <c r="O7" s="119" t="n">
        <v>0.773281331021839</v>
      </c>
      <c r="P7" s="116" t="n">
        <v>0.505332287076584</v>
      </c>
      <c r="Q7" s="119" t="n">
        <v>1.17853996035931</v>
      </c>
      <c r="R7" s="116" t="n">
        <v>0.799750283048306</v>
      </c>
      <c r="S7" s="121" t="n">
        <v>0.766414523255719</v>
      </c>
      <c r="T7" s="117"/>
      <c r="U7" s="107"/>
      <c r="V7" s="118" t="n">
        <f aca="false">E7/$B7</f>
        <v>0.775214418407934</v>
      </c>
      <c r="W7" s="116" t="n">
        <f aca="false">F7/$B7</f>
        <v>0.657699875754368</v>
      </c>
      <c r="X7" s="119" t="n">
        <f aca="false">G7/$B7</f>
        <v>0.752518535105034</v>
      </c>
      <c r="Y7" s="116" t="n">
        <f aca="false">H7/$B7</f>
        <v>1.0046657821822</v>
      </c>
      <c r="Z7" s="119" t="n">
        <f aca="false">I7/$B7</f>
        <v>1.00222484588129</v>
      </c>
      <c r="AA7" s="118" t="n">
        <f aca="false">J7/$B7</f>
        <v>6.06552849919095</v>
      </c>
      <c r="AB7" s="120" t="n">
        <f aca="false">K7/$B7</f>
        <v>0.937427461259788</v>
      </c>
      <c r="AC7" s="118" t="n">
        <f aca="false">L7/$B7</f>
        <v>0.850644771371381</v>
      </c>
      <c r="AD7" s="120" t="n">
        <f aca="false">M7/$B7</f>
        <v>0.623685100159403</v>
      </c>
      <c r="AE7" s="116" t="n">
        <f aca="false">N7/$B7</f>
        <v>1.16391875669727</v>
      </c>
      <c r="AF7" s="119" t="n">
        <f aca="false">O7/$B7</f>
        <v>1.12983517056074</v>
      </c>
      <c r="AG7" s="116" t="n">
        <f aca="false">P7/$B7</f>
        <v>0.738336964639453</v>
      </c>
      <c r="AH7" s="119" t="n">
        <f aca="false">Q7/$B7</f>
        <v>1.72195531394201</v>
      </c>
      <c r="AI7" s="116" t="n">
        <f aca="false">R7/$B7</f>
        <v>1.16850874475381</v>
      </c>
      <c r="AJ7" s="121" t="n">
        <f aca="false">S7/$B7</f>
        <v>1.11980213263211</v>
      </c>
    </row>
    <row r="8" customFormat="false" ht="15.75" hidden="false" customHeight="false" outlineLevel="0" collapsed="false">
      <c r="A8" s="115" t="s">
        <v>9</v>
      </c>
      <c r="B8" s="116" t="n">
        <v>0.52380275693697</v>
      </c>
      <c r="C8" s="117"/>
      <c r="D8" s="102"/>
      <c r="E8" s="118" t="n">
        <v>0.513666276985596</v>
      </c>
      <c r="F8" s="116" t="n">
        <v>0.473878868888497</v>
      </c>
      <c r="G8" s="119" t="n">
        <v>0.512404753765105</v>
      </c>
      <c r="H8" s="116" t="n">
        <v>0.378113440794545</v>
      </c>
      <c r="I8" s="119" t="n">
        <v>0.684899778708164</v>
      </c>
      <c r="J8" s="118" t="n">
        <v>2.6422802230145</v>
      </c>
      <c r="K8" s="120" t="n">
        <v>0.452502482164135</v>
      </c>
      <c r="L8" s="118" t="n">
        <v>0.717867201988615</v>
      </c>
      <c r="M8" s="120" t="n">
        <v>0.566352153442497</v>
      </c>
      <c r="N8" s="116" t="n">
        <v>0.609906529819867</v>
      </c>
      <c r="O8" s="119" t="n">
        <v>0.63106726261746</v>
      </c>
      <c r="P8" s="116" t="n">
        <v>0.457220963217262</v>
      </c>
      <c r="Q8" s="119" t="n">
        <v>1.4307965999099</v>
      </c>
      <c r="R8" s="116" t="n">
        <v>0.733226273346648</v>
      </c>
      <c r="S8" s="121" t="n">
        <v>0.484904692034655</v>
      </c>
      <c r="T8" s="117"/>
      <c r="U8" s="107"/>
      <c r="V8" s="118" t="n">
        <f aca="false">E8/$B8</f>
        <v>0.980648288278111</v>
      </c>
      <c r="W8" s="116" t="n">
        <f aca="false">F8/$B8</f>
        <v>0.904689527904717</v>
      </c>
      <c r="X8" s="119" t="n">
        <f aca="false">G8/$B8</f>
        <v>0.978239894653252</v>
      </c>
      <c r="Y8" s="116" t="n">
        <f aca="false">H8/$B8</f>
        <v>0.721862257857577</v>
      </c>
      <c r="Z8" s="119" t="n">
        <f aca="false">I8/$B8</f>
        <v>1.30755283288931</v>
      </c>
      <c r="AA8" s="118" t="n">
        <f aca="false">J8/$B8</f>
        <v>5.04441831972345</v>
      </c>
      <c r="AB8" s="120" t="n">
        <f aca="false">K8/$B8</f>
        <v>0.863879535133079</v>
      </c>
      <c r="AC8" s="118" t="n">
        <f aca="false">L8/$B8</f>
        <v>1.37049145404746</v>
      </c>
      <c r="AD8" s="120" t="n">
        <f aca="false">M8/$B8</f>
        <v>1.081231715454</v>
      </c>
      <c r="AE8" s="116" t="n">
        <f aca="false">N8/$B8</f>
        <v>1.16438205363103</v>
      </c>
      <c r="AF8" s="119" t="n">
        <f aca="false">O8/$B8</f>
        <v>1.20478033813288</v>
      </c>
      <c r="AG8" s="116" t="n">
        <f aca="false">P8/$B8</f>
        <v>0.872887660788466</v>
      </c>
      <c r="AH8" s="119" t="n">
        <f aca="false">Q8/$B8</f>
        <v>2.73155606945778</v>
      </c>
      <c r="AI8" s="116" t="n">
        <f aca="false">R8/$B8</f>
        <v>1.39981369635074</v>
      </c>
      <c r="AJ8" s="121" t="n">
        <f aca="false">S8/$B8</f>
        <v>0.925739098568746</v>
      </c>
    </row>
    <row r="9" customFormat="false" ht="15.75" hidden="false" customHeight="false" outlineLevel="0" collapsed="false">
      <c r="A9" s="115" t="s">
        <v>10</v>
      </c>
      <c r="B9" s="116" t="n">
        <v>0.481929461076513</v>
      </c>
      <c r="C9" s="117"/>
      <c r="D9" s="102"/>
      <c r="E9" s="118" t="n">
        <v>0.537416467080242</v>
      </c>
      <c r="F9" s="116" t="n">
        <v>0.416891705805043</v>
      </c>
      <c r="G9" s="119" t="n">
        <v>0.263129697324982</v>
      </c>
      <c r="H9" s="116" t="n">
        <v>0.368617942032623</v>
      </c>
      <c r="I9" s="119" t="n">
        <v>0.426764500822774</v>
      </c>
      <c r="J9" s="118" t="n">
        <v>1.55206749660518</v>
      </c>
      <c r="K9" s="120" t="n">
        <v>0.299946592772073</v>
      </c>
      <c r="L9" s="118" t="n">
        <v>0.3612878813529</v>
      </c>
      <c r="M9" s="120" t="n">
        <v>0.224171055524975</v>
      </c>
      <c r="N9" s="116" t="n">
        <v>0.464040666833046</v>
      </c>
      <c r="O9" s="119" t="n">
        <v>0.546132270415591</v>
      </c>
      <c r="P9" s="116" t="n">
        <v>0.326296018570936</v>
      </c>
      <c r="Q9" s="119" t="n">
        <v>0.733151440374187</v>
      </c>
      <c r="R9" s="116" t="n">
        <v>0.475652722766677</v>
      </c>
      <c r="S9" s="121" t="n">
        <v>0.412100666202846</v>
      </c>
      <c r="T9" s="117"/>
      <c r="U9" s="107"/>
      <c r="V9" s="118" t="n">
        <f aca="false">E9/$B9</f>
        <v>1.11513511931764</v>
      </c>
      <c r="W9" s="116" t="n">
        <f aca="false">F9/$B9</f>
        <v>0.86504714792453</v>
      </c>
      <c r="X9" s="119" t="n">
        <f aca="false">G9/$B9</f>
        <v>0.545992139051251</v>
      </c>
      <c r="Y9" s="116" t="n">
        <f aca="false">H9/$B9</f>
        <v>0.764879451879162</v>
      </c>
      <c r="Z9" s="119" t="n">
        <f aca="false">I9/$B9</f>
        <v>0.885533123186712</v>
      </c>
      <c r="AA9" s="118" t="n">
        <f aca="false">J9/$B9</f>
        <v>3.22052835935417</v>
      </c>
      <c r="AB9" s="120" t="n">
        <f aca="false">K9/$B9</f>
        <v>0.62238691965846</v>
      </c>
      <c r="AC9" s="118" t="n">
        <f aca="false">L9/$B9</f>
        <v>0.749669631206757</v>
      </c>
      <c r="AD9" s="120" t="n">
        <f aca="false">M9/$B9</f>
        <v>0.465153250901556</v>
      </c>
      <c r="AE9" s="116" t="n">
        <f aca="false">N9/$B9</f>
        <v>0.962880886751544</v>
      </c>
      <c r="AF9" s="119" t="n">
        <f aca="false">O9/$B9</f>
        <v>1.13322034555776</v>
      </c>
      <c r="AG9" s="116" t="n">
        <f aca="false">P9/$B9</f>
        <v>0.677061779626567</v>
      </c>
      <c r="AH9" s="119" t="n">
        <f aca="false">Q9/$B9</f>
        <v>1.52128371387901</v>
      </c>
      <c r="AI9" s="116" t="n">
        <f aca="false">R9/$B9</f>
        <v>0.986975815307463</v>
      </c>
      <c r="AJ9" s="121" t="n">
        <f aca="false">S9/$B9</f>
        <v>0.855105776854385</v>
      </c>
    </row>
    <row r="10" customFormat="false" ht="15.75" hidden="false" customHeight="false" outlineLevel="0" collapsed="false">
      <c r="A10" s="115" t="s">
        <v>11</v>
      </c>
      <c r="B10" s="116" t="n">
        <v>0.521241866738641</v>
      </c>
      <c r="C10" s="117"/>
      <c r="D10" s="102"/>
      <c r="E10" s="118" t="n">
        <v>0.346868193775421</v>
      </c>
      <c r="F10" s="116" t="n">
        <v>0.399826867690108</v>
      </c>
      <c r="G10" s="119" t="n">
        <v>0.349863727083986</v>
      </c>
      <c r="H10" s="116" t="n">
        <v>0.366596422510241</v>
      </c>
      <c r="I10" s="119" t="n">
        <v>0.552695577877806</v>
      </c>
      <c r="J10" s="118" t="n">
        <v>2.43191219011615</v>
      </c>
      <c r="K10" s="120" t="n">
        <v>0.424399687674375</v>
      </c>
      <c r="L10" s="118" t="n">
        <v>0.670515504602175</v>
      </c>
      <c r="M10" s="120" t="n">
        <v>0.516516182447462</v>
      </c>
      <c r="N10" s="116" t="n">
        <v>0.581257254279486</v>
      </c>
      <c r="O10" s="119" t="n">
        <v>0.848670463219236</v>
      </c>
      <c r="P10" s="116" t="n">
        <v>0.377514408770173</v>
      </c>
      <c r="Q10" s="119" t="n">
        <v>1.26153689688453</v>
      </c>
      <c r="R10" s="116" t="n">
        <v>0.430396373986839</v>
      </c>
      <c r="S10" s="121" t="n">
        <v>0.516998655854322</v>
      </c>
      <c r="T10" s="117"/>
      <c r="U10" s="107"/>
      <c r="V10" s="118" t="n">
        <f aca="false">E10/$B10</f>
        <v>0.66546495189602</v>
      </c>
      <c r="W10" s="116" t="n">
        <f aca="false">F10/$B10</f>
        <v>0.767065911630977</v>
      </c>
      <c r="X10" s="119" t="n">
        <f aca="false">G10/$B10</f>
        <v>0.671211868058582</v>
      </c>
      <c r="Y10" s="116" t="n">
        <f aca="false">H10/$B10</f>
        <v>0.703313463294878</v>
      </c>
      <c r="Z10" s="119" t="n">
        <f aca="false">I10/$B10</f>
        <v>1.06034379267339</v>
      </c>
      <c r="AA10" s="118" t="n">
        <f aca="false">J10/$B10</f>
        <v>4.6656117731532</v>
      </c>
      <c r="AB10" s="120" t="n">
        <f aca="false">K10/$B10</f>
        <v>0.814208747907765</v>
      </c>
      <c r="AC10" s="118" t="n">
        <f aca="false">L10/$B10</f>
        <v>1.28638075217849</v>
      </c>
      <c r="AD10" s="120" t="n">
        <f aca="false">M10/$B10</f>
        <v>0.990933797546335</v>
      </c>
      <c r="AE10" s="116" t="n">
        <f aca="false">N10/$B10</f>
        <v>1.11513923069218</v>
      </c>
      <c r="AF10" s="119" t="n">
        <f aca="false">O10/$B10</f>
        <v>1.62817017851863</v>
      </c>
      <c r="AG10" s="116" t="n">
        <f aca="false">P10/$B10</f>
        <v>0.724259567122349</v>
      </c>
      <c r="AH10" s="119" t="n">
        <f aca="false">Q10/$B10</f>
        <v>2.42025243439833</v>
      </c>
      <c r="AI10" s="116" t="n">
        <f aca="false">R10/$B10</f>
        <v>0.825713361591206</v>
      </c>
      <c r="AJ10" s="121" t="n">
        <f aca="false">S10/$B10</f>
        <v>0.991859420443587</v>
      </c>
    </row>
    <row r="11" customFormat="false" ht="15.75" hidden="false" customHeight="false" outlineLevel="0" collapsed="false">
      <c r="A11" s="115" t="s">
        <v>23</v>
      </c>
      <c r="B11" s="116" t="n">
        <v>0.453767591741429</v>
      </c>
      <c r="C11" s="117"/>
      <c r="D11" s="102"/>
      <c r="E11" s="118" t="n">
        <v>0.678250906716467</v>
      </c>
      <c r="F11" s="116" t="n">
        <v>0.637983193391625</v>
      </c>
      <c r="G11" s="119" t="n">
        <v>0.42980994487009</v>
      </c>
      <c r="H11" s="116" t="n">
        <v>0.421492650611742</v>
      </c>
      <c r="I11" s="119" t="n">
        <v>0.540639354999261</v>
      </c>
      <c r="J11" s="118" t="n">
        <v>2.10896120194405</v>
      </c>
      <c r="K11" s="120" t="n">
        <v>0.380148018911294</v>
      </c>
      <c r="L11" s="118" t="n">
        <v>0.475175460392397</v>
      </c>
      <c r="M11" s="120" t="n">
        <v>0.324496657048299</v>
      </c>
      <c r="N11" s="116" t="n">
        <v>0.44814113784211</v>
      </c>
      <c r="O11" s="119" t="n">
        <v>0.755234366718248</v>
      </c>
      <c r="P11" s="116" t="n">
        <v>0.335377776629128</v>
      </c>
      <c r="Q11" s="119" t="n">
        <v>0.824474406847329</v>
      </c>
      <c r="R11" s="116" t="n">
        <v>0.429768633022837</v>
      </c>
      <c r="S11" s="121" t="n">
        <v>0.483540612944137</v>
      </c>
      <c r="T11" s="117"/>
      <c r="U11" s="107"/>
      <c r="V11" s="118" t="n">
        <f aca="false">E11/$B11</f>
        <v>1.49470988907237</v>
      </c>
      <c r="W11" s="116" t="n">
        <f aca="false">F11/$B11</f>
        <v>1.40596905773555</v>
      </c>
      <c r="X11" s="119" t="n">
        <f aca="false">G11/$B11</f>
        <v>0.947202825174455</v>
      </c>
      <c r="Y11" s="116" t="n">
        <f aca="false">H11/$B11</f>
        <v>0.928873410712686</v>
      </c>
      <c r="Z11" s="119" t="n">
        <f aca="false">I11/$B11</f>
        <v>1.19144549949996</v>
      </c>
      <c r="AA11" s="118" t="n">
        <f aca="false">J11/$B11</f>
        <v>4.64766819034049</v>
      </c>
      <c r="AB11" s="120" t="n">
        <f aca="false">K11/$B11</f>
        <v>0.837759297556699</v>
      </c>
      <c r="AC11" s="118" t="n">
        <f aca="false">L11/$B11</f>
        <v>1.04717804673712</v>
      </c>
      <c r="AD11" s="120" t="n">
        <f aca="false">M11/$B11</f>
        <v>0.715116422931339</v>
      </c>
      <c r="AE11" s="116" t="n">
        <f aca="false">N11/$B11</f>
        <v>0.987600582320729</v>
      </c>
      <c r="AF11" s="119" t="n">
        <f aca="false">O11/$B11</f>
        <v>1.66436382955397</v>
      </c>
      <c r="AG11" s="116" t="n">
        <f aca="false">P11/$B11</f>
        <v>0.73909592208215</v>
      </c>
      <c r="AH11" s="119" t="n">
        <f aca="false">Q11/$B11</f>
        <v>1.81695304348033</v>
      </c>
      <c r="AI11" s="116" t="n">
        <f aca="false">R11/$B11</f>
        <v>0.947111783310723</v>
      </c>
      <c r="AJ11" s="121" t="n">
        <f aca="false">S11/$B11</f>
        <v>1.06561292993281</v>
      </c>
    </row>
    <row r="12" customFormat="false" ht="15.75" hidden="false" customHeight="false" outlineLevel="0" collapsed="false">
      <c r="A12" s="115" t="s">
        <v>24</v>
      </c>
      <c r="B12" s="116" t="n">
        <v>0.610175817668367</v>
      </c>
      <c r="C12" s="117"/>
      <c r="D12" s="102"/>
      <c r="E12" s="118" t="n">
        <v>0.848517897047957</v>
      </c>
      <c r="F12" s="116" t="n">
        <v>0.617765748465756</v>
      </c>
      <c r="G12" s="119" t="n">
        <v>0.733076261971685</v>
      </c>
      <c r="H12" s="116" t="n">
        <v>0.537982929541385</v>
      </c>
      <c r="I12" s="119" t="n">
        <v>0.477244056993268</v>
      </c>
      <c r="J12" s="118" t="n">
        <v>1.27506650229652</v>
      </c>
      <c r="K12" s="120" t="n">
        <v>0.257668442698765</v>
      </c>
      <c r="L12" s="118" t="n">
        <v>0.285058468775332</v>
      </c>
      <c r="M12" s="120" t="n">
        <v>0.162800485773324</v>
      </c>
      <c r="N12" s="116" t="n">
        <v>0.302427821784156</v>
      </c>
      <c r="O12" s="119" t="n">
        <v>0.6512534336402</v>
      </c>
      <c r="P12" s="116" t="n">
        <v>0.344082000182197</v>
      </c>
      <c r="Q12" s="119" t="n">
        <v>0.654722751955253</v>
      </c>
      <c r="R12" s="116" t="n">
        <v>0.469445291898599</v>
      </c>
      <c r="S12" s="121" t="n">
        <v>0.612633947287927</v>
      </c>
      <c r="T12" s="117"/>
      <c r="U12" s="107"/>
      <c r="V12" s="118" t="n">
        <f aca="false">E12/$B12</f>
        <v>1.39061213584365</v>
      </c>
      <c r="W12" s="116" t="n">
        <f aca="false">F12/$B12</f>
        <v>1.01243892428643</v>
      </c>
      <c r="X12" s="119" t="n">
        <f aca="false">G12/$B12</f>
        <v>1.20141808433666</v>
      </c>
      <c r="Y12" s="116" t="n">
        <f aca="false">H12/$B12</f>
        <v>0.881685104462433</v>
      </c>
      <c r="Z12" s="119" t="n">
        <f aca="false">I12/$B12</f>
        <v>0.782141873168516</v>
      </c>
      <c r="AA12" s="118" t="n">
        <f aca="false">J12/$B12</f>
        <v>2.08967065782591</v>
      </c>
      <c r="AB12" s="120" t="n">
        <f aca="false">K12/$B12</f>
        <v>0.422285569564818</v>
      </c>
      <c r="AC12" s="118" t="n">
        <f aca="false">L12/$B12</f>
        <v>0.467174313568523</v>
      </c>
      <c r="AD12" s="120" t="n">
        <f aca="false">M12/$B12</f>
        <v>0.266809141003695</v>
      </c>
      <c r="AE12" s="116" t="n">
        <f aca="false">N12/$B12</f>
        <v>0.495640458089289</v>
      </c>
      <c r="AF12" s="119" t="n">
        <f aca="false">O12/$B12</f>
        <v>1.06732095042508</v>
      </c>
      <c r="AG12" s="116" t="n">
        <f aca="false">P12/$B12</f>
        <v>0.563906320471728</v>
      </c>
      <c r="AH12" s="119" t="n">
        <f aca="false">Q12/$B12</f>
        <v>1.07300671871447</v>
      </c>
      <c r="AI12" s="116" t="n">
        <f aca="false">R12/$B12</f>
        <v>0.769360696221075</v>
      </c>
      <c r="AJ12" s="121" t="n">
        <f aca="false">S12/$B12</f>
        <v>1.00402855955346</v>
      </c>
    </row>
    <row r="13" customFormat="false" ht="15.75" hidden="false" customHeight="false" outlineLevel="0" collapsed="false">
      <c r="A13" s="115" t="s">
        <v>25</v>
      </c>
      <c r="B13" s="116" t="n">
        <v>0.490782750771173</v>
      </c>
      <c r="C13" s="117"/>
      <c r="D13" s="102"/>
      <c r="E13" s="118" t="n">
        <v>0.564926270918873</v>
      </c>
      <c r="F13" s="116" t="n">
        <v>0.642369419456237</v>
      </c>
      <c r="G13" s="119" t="n">
        <v>0.459768123757259</v>
      </c>
      <c r="H13" s="116" t="n">
        <v>0.610937413920784</v>
      </c>
      <c r="I13" s="119" t="n">
        <v>0.730636647096383</v>
      </c>
      <c r="J13" s="118" t="n">
        <v>1.86554356669061</v>
      </c>
      <c r="K13" s="120" t="n">
        <v>0.345771514457295</v>
      </c>
      <c r="L13" s="118" t="n">
        <v>0.404804693547362</v>
      </c>
      <c r="M13" s="120" t="n">
        <v>0.261366893565167</v>
      </c>
      <c r="N13" s="116" t="n">
        <v>0.284032167529219</v>
      </c>
      <c r="O13" s="119" t="n">
        <v>0.687161184428617</v>
      </c>
      <c r="P13" s="116" t="n">
        <v>0.403471156150268</v>
      </c>
      <c r="Q13" s="119" t="n">
        <v>0.694894096433743</v>
      </c>
      <c r="R13" s="116" t="n">
        <v>0.349574261460202</v>
      </c>
      <c r="S13" s="121" t="n">
        <v>0.615661591123118</v>
      </c>
      <c r="T13" s="117"/>
      <c r="U13" s="107"/>
      <c r="V13" s="118" t="n">
        <f aca="false">E13/$B13</f>
        <v>1.15107197641155</v>
      </c>
      <c r="W13" s="116" t="n">
        <f aca="false">F13/$B13</f>
        <v>1.30886714833982</v>
      </c>
      <c r="X13" s="119" t="n">
        <f aca="false">G13/$B13</f>
        <v>0.936805792450569</v>
      </c>
      <c r="Y13" s="116" t="n">
        <f aca="false">H13/$B13</f>
        <v>1.24482250641615</v>
      </c>
      <c r="Z13" s="119" t="n">
        <f aca="false">I13/$B13</f>
        <v>1.48871704628642</v>
      </c>
      <c r="AA13" s="118" t="n">
        <f aca="false">J13/$B13</f>
        <v>3.80115960424294</v>
      </c>
      <c r="AB13" s="120" t="n">
        <f aca="false">K13/$B13</f>
        <v>0.704530698998651</v>
      </c>
      <c r="AC13" s="118" t="n">
        <f aca="false">L13/$B13</f>
        <v>0.824814427384189</v>
      </c>
      <c r="AD13" s="120" t="n">
        <f aca="false">M13/$B13</f>
        <v>0.532551099553678</v>
      </c>
      <c r="AE13" s="116" t="n">
        <f aca="false">N13/$B13</f>
        <v>0.578732987422471</v>
      </c>
      <c r="AF13" s="119" t="n">
        <f aca="false">O13/$B13</f>
        <v>1.4001331207115</v>
      </c>
      <c r="AG13" s="116" t="n">
        <f aca="false">P13/$B13</f>
        <v>0.822097263027866</v>
      </c>
      <c r="AH13" s="119" t="n">
        <f aca="false">Q13/$B13</f>
        <v>1.41588940389989</v>
      </c>
      <c r="AI13" s="116" t="n">
        <f aca="false">R13/$B13</f>
        <v>0.712279029592853</v>
      </c>
      <c r="AJ13" s="121" t="n">
        <f aca="false">S13/$B13</f>
        <v>1.25444830763861</v>
      </c>
    </row>
    <row r="14" customFormat="false" ht="15.75" hidden="false" customHeight="false" outlineLevel="0" collapsed="false">
      <c r="A14" s="115" t="s">
        <v>26</v>
      </c>
      <c r="B14" s="116" t="n">
        <v>0.584664513964605</v>
      </c>
      <c r="C14" s="117"/>
      <c r="D14" s="102"/>
      <c r="E14" s="118" t="n">
        <v>0.435705463344049</v>
      </c>
      <c r="F14" s="116" t="n">
        <v>0.393845249350726</v>
      </c>
      <c r="G14" s="119" t="n">
        <v>0.493257314335159</v>
      </c>
      <c r="H14" s="116" t="n">
        <v>0.419469404724276</v>
      </c>
      <c r="I14" s="119" t="n">
        <v>0.434625480080118</v>
      </c>
      <c r="J14" s="118" t="n">
        <v>2.40790770918364</v>
      </c>
      <c r="K14" s="120" t="n">
        <v>0.421158580569158</v>
      </c>
      <c r="L14" s="118" t="n">
        <v>0.42566699301017</v>
      </c>
      <c r="M14" s="120" t="n">
        <v>0.279711210443152</v>
      </c>
      <c r="N14" s="116" t="n">
        <v>0.485556353034519</v>
      </c>
      <c r="O14" s="119" t="n">
        <v>0.518335326082918</v>
      </c>
      <c r="P14" s="116" t="n">
        <v>0.348943955510876</v>
      </c>
      <c r="Q14" s="119" t="n">
        <v>1.13331286037888</v>
      </c>
      <c r="R14" s="116" t="n">
        <v>0.676172010569783</v>
      </c>
      <c r="S14" s="121" t="n">
        <v>0.505833785412553</v>
      </c>
      <c r="T14" s="117"/>
      <c r="U14" s="107"/>
      <c r="V14" s="118" t="n">
        <f aca="false">E14/$B14</f>
        <v>0.745223034641755</v>
      </c>
      <c r="W14" s="116" t="n">
        <f aca="false">F14/$B14</f>
        <v>0.673626053820276</v>
      </c>
      <c r="X14" s="119" t="n">
        <f aca="false">G14/$B14</f>
        <v>0.843658718040516</v>
      </c>
      <c r="Y14" s="116" t="n">
        <f aca="false">H14/$B14</f>
        <v>0.717453162805893</v>
      </c>
      <c r="Z14" s="119" t="n">
        <f aca="false">I14/$B14</f>
        <v>0.743375850080119</v>
      </c>
      <c r="AA14" s="118" t="n">
        <f aca="false">J14/$B14</f>
        <v>4.11844340073872</v>
      </c>
      <c r="AB14" s="120" t="n">
        <f aca="false">K14/$B14</f>
        <v>0.720342299746029</v>
      </c>
      <c r="AC14" s="118" t="n">
        <f aca="false">L14/$B14</f>
        <v>0.728053409849909</v>
      </c>
      <c r="AD14" s="120" t="n">
        <f aca="false">M14/$B14</f>
        <v>0.478413181854382</v>
      </c>
      <c r="AE14" s="116" t="n">
        <f aca="false">N14/$B14</f>
        <v>0.830487127980397</v>
      </c>
      <c r="AF14" s="119" t="n">
        <f aca="false">O14/$B14</f>
        <v>0.886551712482243</v>
      </c>
      <c r="AG14" s="116" t="n">
        <f aca="false">P14/$B14</f>
        <v>0.59682766300402</v>
      </c>
      <c r="AH14" s="119" t="n">
        <f aca="false">Q14/$B14</f>
        <v>1.93839857441303</v>
      </c>
      <c r="AI14" s="116" t="n">
        <f aca="false">R14/$B14</f>
        <v>1.15651282815963</v>
      </c>
      <c r="AJ14" s="121" t="n">
        <f aca="false">S14/$B14</f>
        <v>0.865169295092836</v>
      </c>
    </row>
    <row r="15" customFormat="false" ht="15.75" hidden="false" customHeight="false" outlineLevel="0" collapsed="false">
      <c r="A15" s="115" t="s">
        <v>27</v>
      </c>
      <c r="B15" s="116" t="n">
        <v>1.16360968753606</v>
      </c>
      <c r="C15" s="117"/>
      <c r="D15" s="102"/>
      <c r="E15" s="118" t="n">
        <v>0.947146955230652</v>
      </c>
      <c r="F15" s="116" t="n">
        <v>0.847227206675352</v>
      </c>
      <c r="G15" s="119" t="n">
        <v>0.88037265054612</v>
      </c>
      <c r="H15" s="116" t="n">
        <v>0.999412751121363</v>
      </c>
      <c r="I15" s="119" t="n">
        <v>1.27294964980464</v>
      </c>
      <c r="J15" s="118" t="n">
        <v>4.46595163243733</v>
      </c>
      <c r="K15" s="120" t="n">
        <v>0.678854365587085</v>
      </c>
      <c r="L15" s="118" t="n">
        <v>0.498872136097862</v>
      </c>
      <c r="M15" s="120" t="n">
        <v>0.346528716492309</v>
      </c>
      <c r="N15" s="116" t="n">
        <v>0.844660856481825</v>
      </c>
      <c r="O15" s="119" t="n">
        <v>0.8324305182396</v>
      </c>
      <c r="P15" s="116" t="n">
        <v>0.635230393821833</v>
      </c>
      <c r="Q15" s="119" t="n">
        <v>2.01245217121747</v>
      </c>
      <c r="R15" s="116" t="n">
        <v>1.09616109701946</v>
      </c>
      <c r="S15" s="121" t="n">
        <v>1.03602613803971</v>
      </c>
      <c r="T15" s="117"/>
      <c r="U15" s="107"/>
      <c r="V15" s="118" t="n">
        <f aca="false">E15/$B15</f>
        <v>0.813973074799881</v>
      </c>
      <c r="W15" s="116" t="n">
        <f aca="false">F15/$B15</f>
        <v>0.728102572323333</v>
      </c>
      <c r="X15" s="119" t="n">
        <f aca="false">G15/$B15</f>
        <v>0.756587591162385</v>
      </c>
      <c r="Y15" s="116" t="n">
        <f aca="false">H15/$B15</f>
        <v>0.85889002285433</v>
      </c>
      <c r="Z15" s="119" t="n">
        <f aca="false">I15/$B15</f>
        <v>1.09396618422807</v>
      </c>
      <c r="AA15" s="118" t="n">
        <f aca="false">J15/$B15</f>
        <v>3.83801516975506</v>
      </c>
      <c r="AB15" s="120" t="n">
        <f aca="false">K15/$B15</f>
        <v>0.58340384482752</v>
      </c>
      <c r="AC15" s="118" t="n">
        <f aca="false">L15/$B15</f>
        <v>0.428728070453095</v>
      </c>
      <c r="AD15" s="120" t="n">
        <f aca="false">M15/$B15</f>
        <v>0.2978049428465</v>
      </c>
      <c r="AE15" s="116" t="n">
        <f aca="false">N15/$B15</f>
        <v>0.725897064565005</v>
      </c>
      <c r="AF15" s="119" t="n">
        <f aca="false">O15/$B15</f>
        <v>0.715386376682952</v>
      </c>
      <c r="AG15" s="116" t="n">
        <f aca="false">P15/$B15</f>
        <v>0.545913634637173</v>
      </c>
      <c r="AH15" s="119" t="n">
        <f aca="false">Q15/$B15</f>
        <v>1.72949073282368</v>
      </c>
      <c r="AI15" s="116" t="n">
        <f aca="false">R15/$B15</f>
        <v>0.942035038691183</v>
      </c>
      <c r="AJ15" s="121" t="n">
        <f aca="false">S15/$B15</f>
        <v>0.890355373573332</v>
      </c>
    </row>
    <row r="16" customFormat="false" ht="15.75" hidden="false" customHeight="false" outlineLevel="0" collapsed="false">
      <c r="A16" s="115" t="s">
        <v>28</v>
      </c>
      <c r="B16" s="116" t="n">
        <v>0.686819764822537</v>
      </c>
      <c r="C16" s="117"/>
      <c r="D16" s="102"/>
      <c r="E16" s="118" t="n">
        <v>0.964557073578902</v>
      </c>
      <c r="F16" s="116" t="n">
        <v>0.85891687047549</v>
      </c>
      <c r="G16" s="119" t="n">
        <v>0.509038375560465</v>
      </c>
      <c r="H16" s="116" t="n">
        <v>0.58424124100641</v>
      </c>
      <c r="I16" s="119" t="n">
        <v>0.633778810339147</v>
      </c>
      <c r="J16" s="118" t="n">
        <v>1.92710099932228</v>
      </c>
      <c r="K16" s="120" t="n">
        <v>0.354556488777873</v>
      </c>
      <c r="L16" s="118" t="n">
        <v>0.357107782022614</v>
      </c>
      <c r="M16" s="120" t="n">
        <v>0.220677158820036</v>
      </c>
      <c r="N16" s="116" t="n">
        <v>0.375402677328749</v>
      </c>
      <c r="O16" s="119" t="n">
        <v>1.0586940998212</v>
      </c>
      <c r="P16" s="116" t="n">
        <v>0.444568495456967</v>
      </c>
      <c r="Q16" s="119" t="n">
        <v>0.591688886219869</v>
      </c>
      <c r="R16" s="116" t="n">
        <v>0.446717296608533</v>
      </c>
      <c r="S16" s="121" t="n">
        <v>0.660118565855285</v>
      </c>
      <c r="T16" s="117"/>
      <c r="U16" s="107"/>
      <c r="V16" s="118" t="n">
        <f aca="false">E16/$B16</f>
        <v>1.40438164855102</v>
      </c>
      <c r="W16" s="116" t="n">
        <f aca="false">F16/$B16</f>
        <v>1.25057098596663</v>
      </c>
      <c r="X16" s="119" t="n">
        <f aca="false">G16/$B16</f>
        <v>0.741152776364833</v>
      </c>
      <c r="Y16" s="116" t="n">
        <f aca="false">H16/$B16</f>
        <v>0.85064709976331</v>
      </c>
      <c r="Z16" s="119" t="n">
        <f aca="false">I16/$B16</f>
        <v>0.922773109919027</v>
      </c>
      <c r="AA16" s="118" t="n">
        <f aca="false">J16/$B16</f>
        <v>2.80583218192652</v>
      </c>
      <c r="AB16" s="120" t="n">
        <f aca="false">K16/$B16</f>
        <v>0.516229303432297</v>
      </c>
      <c r="AC16" s="118" t="n">
        <f aca="false">L16/$B16</f>
        <v>0.519943950819303</v>
      </c>
      <c r="AD16" s="120" t="n">
        <f aca="false">M16/$B16</f>
        <v>0.321302865937551</v>
      </c>
      <c r="AE16" s="116" t="n">
        <f aca="false">N16/$B16</f>
        <v>0.546581063265916</v>
      </c>
      <c r="AF16" s="119" t="n">
        <f aca="false">O16/$B16</f>
        <v>1.54144384603543</v>
      </c>
      <c r="AG16" s="116" t="n">
        <f aca="false">P16/$B16</f>
        <v>0.647285529955353</v>
      </c>
      <c r="AH16" s="119" t="n">
        <f aca="false">Q16/$B16</f>
        <v>0.861490767337995</v>
      </c>
      <c r="AI16" s="116" t="n">
        <f aca="false">R16/$B16</f>
        <v>0.650414154467376</v>
      </c>
      <c r="AJ16" s="121" t="n">
        <f aca="false">S16/$B16</f>
        <v>0.961123426647235</v>
      </c>
    </row>
    <row r="17" customFormat="false" ht="15.75" hidden="false" customHeight="false" outlineLevel="0" collapsed="false">
      <c r="A17" s="115" t="s">
        <v>29</v>
      </c>
      <c r="B17" s="116" t="n">
        <v>0.552816698459494</v>
      </c>
      <c r="C17" s="117"/>
      <c r="D17" s="102"/>
      <c r="E17" s="118" t="n">
        <v>0.350869165196697</v>
      </c>
      <c r="F17" s="116" t="n">
        <v>0.42965115287061</v>
      </c>
      <c r="G17" s="119" t="n">
        <v>0.318789557139081</v>
      </c>
      <c r="H17" s="116" t="n">
        <v>0.550704402004126</v>
      </c>
      <c r="I17" s="119" t="n">
        <v>0.109805816471067</v>
      </c>
      <c r="J17" s="118" t="n">
        <v>3.16736958807251</v>
      </c>
      <c r="K17" s="120" t="n">
        <v>0.520544936342161</v>
      </c>
      <c r="L17" s="118" t="n">
        <v>0.564607028140741</v>
      </c>
      <c r="M17" s="120" t="n">
        <v>0.409545472052536</v>
      </c>
      <c r="N17" s="116" t="n">
        <v>0.677625587383452</v>
      </c>
      <c r="O17" s="119" t="n">
        <v>0.395207079537398</v>
      </c>
      <c r="P17" s="116" t="n">
        <v>0.417238567203546</v>
      </c>
      <c r="Q17" s="119" t="n">
        <v>1.09167713083011</v>
      </c>
      <c r="R17" s="116" t="n">
        <v>0.907372858191371</v>
      </c>
      <c r="S17" s="121" t="n">
        <v>0.610050677262194</v>
      </c>
      <c r="T17" s="117"/>
      <c r="U17" s="107"/>
      <c r="V17" s="118" t="n">
        <f aca="false">E17/$B17</f>
        <v>0.634693499987331</v>
      </c>
      <c r="W17" s="116" t="n">
        <f aca="false">F17/$B17</f>
        <v>0.777203644658161</v>
      </c>
      <c r="X17" s="119" t="n">
        <f aca="false">G17/$B17</f>
        <v>0.576664123980761</v>
      </c>
      <c r="Y17" s="116" t="n">
        <f aca="false">H17/$B17</f>
        <v>0.996179029213021</v>
      </c>
      <c r="Z17" s="119" t="n">
        <f aca="false">I17/$B17</f>
        <v>0.198629702715307</v>
      </c>
      <c r="AA17" s="118" t="n">
        <f aca="false">J17/$B17</f>
        <v>5.7295114219575</v>
      </c>
      <c r="AB17" s="120" t="n">
        <f aca="false">K17/$B17</f>
        <v>0.941623033082642</v>
      </c>
      <c r="AC17" s="118" t="n">
        <f aca="false">L17/$B17</f>
        <v>1.02132773795383</v>
      </c>
      <c r="AD17" s="120" t="n">
        <f aca="false">M17/$B17</f>
        <v>0.74083411950796</v>
      </c>
      <c r="AE17" s="116" t="n">
        <f aca="false">N17/$B17</f>
        <v>1.22576902845329</v>
      </c>
      <c r="AF17" s="119" t="n">
        <f aca="false">O17/$B17</f>
        <v>0.71489714518158</v>
      </c>
      <c r="AG17" s="116" t="n">
        <f aca="false">P17/$B17</f>
        <v>0.754750296737135</v>
      </c>
      <c r="AH17" s="119" t="n">
        <f aca="false">Q17/$B17</f>
        <v>1.97475426099145</v>
      </c>
      <c r="AI17" s="116" t="n">
        <f aca="false">R17/$B17</f>
        <v>1.64136297025741</v>
      </c>
      <c r="AJ17" s="121" t="n">
        <f aca="false">S17/$B17</f>
        <v>1.10353156654311</v>
      </c>
    </row>
    <row r="18" customFormat="false" ht="15.75" hidden="false" customHeight="false" outlineLevel="0" collapsed="false">
      <c r="A18" s="115" t="s">
        <v>30</v>
      </c>
      <c r="B18" s="116" t="n">
        <v>0.322438894068303</v>
      </c>
      <c r="C18" s="117"/>
      <c r="D18" s="102"/>
      <c r="E18" s="118" t="n">
        <v>0.225092932182087</v>
      </c>
      <c r="F18" s="116" t="n">
        <v>0.335502770114327</v>
      </c>
      <c r="G18" s="119" t="n">
        <v>0.486441044858577</v>
      </c>
      <c r="H18" s="116" t="n">
        <v>0.362835906149603</v>
      </c>
      <c r="I18" s="119" t="n">
        <v>0.410528801405744</v>
      </c>
      <c r="J18" s="118" t="n">
        <v>2.59973651228506</v>
      </c>
      <c r="K18" s="120" t="n">
        <v>0.446861411474619</v>
      </c>
      <c r="L18" s="118" t="n">
        <v>0.456934465435302</v>
      </c>
      <c r="M18" s="120" t="n">
        <v>0.307796009915698</v>
      </c>
      <c r="N18" s="116" t="n">
        <v>0.522439762300039</v>
      </c>
      <c r="O18" s="119" t="n">
        <v>0.360100026734386</v>
      </c>
      <c r="P18" s="116" t="n">
        <v>0.199800385701308</v>
      </c>
      <c r="Q18" s="119" t="n">
        <v>0.971583590696954</v>
      </c>
      <c r="R18" s="116" t="n">
        <v>0.511663488453878</v>
      </c>
      <c r="S18" s="121" t="n">
        <v>0.538174713576085</v>
      </c>
      <c r="T18" s="117"/>
      <c r="U18" s="107"/>
      <c r="V18" s="118" t="n">
        <f aca="false">E18/$B18</f>
        <v>0.698094852460337</v>
      </c>
      <c r="W18" s="116" t="n">
        <f aca="false">F18/$B18</f>
        <v>1.04051581954395</v>
      </c>
      <c r="X18" s="119" t="n">
        <f aca="false">G18/$B18</f>
        <v>1.50863017398742</v>
      </c>
      <c r="Y18" s="116" t="n">
        <f aca="false">H18/$B18</f>
        <v>1.1252857915855</v>
      </c>
      <c r="Z18" s="119" t="n">
        <f aca="false">I18/$B18</f>
        <v>1.27319876403862</v>
      </c>
      <c r="AA18" s="118" t="n">
        <f aca="false">J18/$B18</f>
        <v>8.06272617885343</v>
      </c>
      <c r="AB18" s="120" t="n">
        <f aca="false">K18/$B18</f>
        <v>1.38587937030934</v>
      </c>
      <c r="AC18" s="118" t="n">
        <f aca="false">L18/$B18</f>
        <v>1.41711956541604</v>
      </c>
      <c r="AD18" s="120" t="n">
        <f aca="false">M18/$B18</f>
        <v>0.954587103410969</v>
      </c>
      <c r="AE18" s="116" t="n">
        <f aca="false">N18/$B18</f>
        <v>1.62027525807531</v>
      </c>
      <c r="AF18" s="119" t="n">
        <f aca="false">O18/$B18</f>
        <v>1.11680083686835</v>
      </c>
      <c r="AG18" s="116" t="n">
        <f aca="false">P18/$B18</f>
        <v>0.61965348900801</v>
      </c>
      <c r="AH18" s="119" t="n">
        <f aca="false">Q18/$B18</f>
        <v>3.01323323138287</v>
      </c>
      <c r="AI18" s="116" t="n">
        <f aca="false">R18/$B18</f>
        <v>1.58685412295668</v>
      </c>
      <c r="AJ18" s="121" t="n">
        <f aca="false">S18/$B18</f>
        <v>1.66907505104543</v>
      </c>
    </row>
    <row r="19" customFormat="false" ht="15.75" hidden="false" customHeight="false" outlineLevel="0" collapsed="false">
      <c r="A19" s="122" t="s">
        <v>31</v>
      </c>
      <c r="B19" s="123" t="n">
        <v>0.346550564141886</v>
      </c>
      <c r="C19" s="124"/>
      <c r="D19" s="102"/>
      <c r="E19" s="125" t="n">
        <v>0.213410674195455</v>
      </c>
      <c r="F19" s="123" t="n">
        <v>0.239330506075245</v>
      </c>
      <c r="G19" s="126" t="n">
        <v>0.334577457237297</v>
      </c>
      <c r="H19" s="123" t="n">
        <v>0.352268189333737</v>
      </c>
      <c r="I19" s="126" t="n">
        <v>0.301930882928364</v>
      </c>
      <c r="J19" s="125" t="n">
        <v>1.8841412084543</v>
      </c>
      <c r="K19" s="127" t="n">
        <v>0.348432465851839</v>
      </c>
      <c r="L19" s="125" t="n">
        <v>0.255899149750491</v>
      </c>
      <c r="M19" s="127" t="n">
        <v>0.140732931246186</v>
      </c>
      <c r="N19" s="123" t="n">
        <v>0.256540027711217</v>
      </c>
      <c r="O19" s="126" t="n">
        <v>0.246086353099481</v>
      </c>
      <c r="P19" s="123" t="n">
        <v>0.231303936756882</v>
      </c>
      <c r="Q19" s="126" t="n">
        <v>0.701427071163429</v>
      </c>
      <c r="R19" s="123" t="n">
        <v>0.344760502572668</v>
      </c>
      <c r="S19" s="128" t="n">
        <v>0.424472275343367</v>
      </c>
      <c r="T19" s="124"/>
      <c r="U19" s="107"/>
      <c r="V19" s="125" t="n">
        <f aca="false">E19/$B19</f>
        <v>0.615813956973042</v>
      </c>
      <c r="W19" s="123" t="n">
        <f aca="false">F19/$B19</f>
        <v>0.690607752054495</v>
      </c>
      <c r="X19" s="126" t="n">
        <f aca="false">G19/$B19</f>
        <v>0.965450620649728</v>
      </c>
      <c r="Y19" s="123" t="n">
        <f aca="false">H19/$B19</f>
        <v>1.01649867518181</v>
      </c>
      <c r="Z19" s="126" t="n">
        <f aca="false">I19/$B19</f>
        <v>0.871246260054409</v>
      </c>
      <c r="AA19" s="125" t="n">
        <f aca="false">J19/$B19</f>
        <v>5.43684357611633</v>
      </c>
      <c r="AB19" s="127" t="n">
        <f aca="false">K19/$B19</f>
        <v>1.00543038132</v>
      </c>
      <c r="AC19" s="125" t="n">
        <f aca="false">L19/$B19</f>
        <v>0.738417928662554</v>
      </c>
      <c r="AD19" s="127" t="n">
        <f aca="false">M19/$B19</f>
        <v>0.406096384793554</v>
      </c>
      <c r="AE19" s="123" t="n">
        <f aca="false">N19/$B19</f>
        <v>0.740267234440813</v>
      </c>
      <c r="AF19" s="126" t="n">
        <f aca="false">O19/$B19</f>
        <v>0.710102301258202</v>
      </c>
      <c r="AG19" s="123" t="n">
        <f aca="false">P19/$B19</f>
        <v>0.667446429728451</v>
      </c>
      <c r="AH19" s="126" t="n">
        <f aca="false">Q19/$B19</f>
        <v>2.02402518922534</v>
      </c>
      <c r="AI19" s="123" t="n">
        <f aca="false">R19/$B19</f>
        <v>0.994834630918435</v>
      </c>
      <c r="AJ19" s="128" t="n">
        <f aca="false">S19/$B19</f>
        <v>1.22484947151775</v>
      </c>
    </row>
  </sheetData>
  <mergeCells count="2">
    <mergeCell ref="D1:D19"/>
    <mergeCell ref="U1:U1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900"/>
    <outlinePr summaryBelow="0"/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G12" activeCellId="0" sqref="G12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0" width="13.94"/>
    <col collapsed="false" customWidth="true" hidden="false" outlineLevel="0" max="2" min="2" style="0" width="3.02"/>
    <col collapsed="false" customWidth="true" hidden="false" outlineLevel="0" max="3" min="3" style="0" width="7.66"/>
    <col collapsed="false" customWidth="true" hidden="false" outlineLevel="0" max="7" min="4" style="0" width="19.4"/>
    <col collapsed="false" customWidth="true" hidden="false" outlineLevel="0" max="8" min="8" style="0" width="18.31"/>
    <col collapsed="false" customWidth="true" hidden="false" outlineLevel="0" max="10" min="9" style="0" width="19.4"/>
    <col collapsed="false" customWidth="true" hidden="false" outlineLevel="0" max="11" min="11" style="0" width="9.21"/>
    <col collapsed="false" customWidth="true" hidden="false" outlineLevel="0" max="15" min="12" style="0" width="19.4"/>
  </cols>
  <sheetData>
    <row r="1" customFormat="false" ht="15.75" hidden="false" customHeight="false" outlineLevel="0" collapsed="false">
      <c r="A1" s="129"/>
      <c r="B1" s="130"/>
      <c r="C1" s="131" t="s">
        <v>22</v>
      </c>
      <c r="D1" s="129" t="s">
        <v>33</v>
      </c>
      <c r="E1" s="132" t="s">
        <v>34</v>
      </c>
      <c r="F1" s="129" t="s">
        <v>35</v>
      </c>
      <c r="G1" s="132" t="s">
        <v>36</v>
      </c>
      <c r="H1" s="129" t="s">
        <v>37</v>
      </c>
      <c r="I1" s="132" t="s">
        <v>38</v>
      </c>
      <c r="J1" s="129" t="s">
        <v>39</v>
      </c>
      <c r="K1" s="132" t="s">
        <v>40</v>
      </c>
      <c r="L1" s="129" t="s">
        <v>41</v>
      </c>
      <c r="M1" s="132" t="s">
        <v>42</v>
      </c>
      <c r="N1" s="129" t="s">
        <v>43</v>
      </c>
      <c r="O1" s="133" t="s">
        <v>44</v>
      </c>
    </row>
    <row r="2" customFormat="false" ht="15.75" hidden="false" customHeight="false" outlineLevel="0" collapsed="false">
      <c r="A2" s="134" t="s">
        <v>3</v>
      </c>
      <c r="B2" s="135" t="s">
        <v>162</v>
      </c>
      <c r="C2" s="111" t="n">
        <v>0.554634388849424</v>
      </c>
      <c r="D2" s="135" t="n">
        <v>0.468879067632034</v>
      </c>
      <c r="E2" s="136" t="n">
        <v>0.944989279549827</v>
      </c>
      <c r="F2" s="135" t="n">
        <v>0.441564878444005</v>
      </c>
      <c r="G2" s="136" t="n">
        <v>0.902943683444571</v>
      </c>
      <c r="H2" s="135" t="n">
        <v>2.90838296593398</v>
      </c>
      <c r="I2" s="136" t="n">
        <v>0.665184366654808</v>
      </c>
      <c r="J2" s="135" t="n">
        <v>0.641924982845809</v>
      </c>
      <c r="K2" s="112" t="n">
        <v>0.489363328899537</v>
      </c>
      <c r="L2" s="135" t="n">
        <v>0.379923598388864</v>
      </c>
      <c r="M2" s="136" t="n">
        <v>1.38663650937785</v>
      </c>
      <c r="N2" s="135" t="n">
        <v>0.760778131277277</v>
      </c>
      <c r="O2" s="137" t="n">
        <v>0.540020351999233</v>
      </c>
    </row>
    <row r="3" customFormat="false" ht="15.75" hidden="false" customHeight="false" outlineLevel="0" collapsed="false">
      <c r="A3" s="138" t="s">
        <v>4</v>
      </c>
      <c r="B3" s="139" t="s">
        <v>162</v>
      </c>
      <c r="C3" s="118" t="n">
        <v>0.870868937496984</v>
      </c>
      <c r="D3" s="139" t="n">
        <v>0.969676551526357</v>
      </c>
      <c r="E3" s="140" t="n">
        <v>0.5160361350219</v>
      </c>
      <c r="F3" s="139" t="n">
        <v>0.698331357594568</v>
      </c>
      <c r="G3" s="140" t="n">
        <v>1.06954366993892</v>
      </c>
      <c r="H3" s="139" t="n">
        <v>2.71068702237403</v>
      </c>
      <c r="I3" s="140" t="n">
        <v>0.541661887438674</v>
      </c>
      <c r="J3" s="139" t="n">
        <v>0.47957582375453</v>
      </c>
      <c r="K3" s="119" t="n">
        <v>1.01432720808239</v>
      </c>
      <c r="L3" s="139" t="n">
        <v>0.586385639417925</v>
      </c>
      <c r="M3" s="140" t="n">
        <v>1.069336438486</v>
      </c>
      <c r="N3" s="139" t="n">
        <v>0.734392226897557</v>
      </c>
      <c r="O3" s="141" t="n">
        <v>0.731429184096151</v>
      </c>
    </row>
    <row r="4" customFormat="false" ht="15.75" hidden="false" customHeight="false" outlineLevel="0" collapsed="false">
      <c r="A4" s="138" t="s">
        <v>5</v>
      </c>
      <c r="B4" s="139" t="s">
        <v>162</v>
      </c>
      <c r="C4" s="118" t="n">
        <v>0.409823150799878</v>
      </c>
      <c r="D4" s="139" t="n">
        <v>0.715572947191065</v>
      </c>
      <c r="E4" s="140" t="n">
        <v>0.630676200430324</v>
      </c>
      <c r="F4" s="139" t="n">
        <v>0.742489208541671</v>
      </c>
      <c r="G4" s="140" t="n">
        <v>0.880463675028218</v>
      </c>
      <c r="H4" s="139" t="n">
        <v>4.40430513881907</v>
      </c>
      <c r="I4" s="140" t="n">
        <v>1.07714915731085</v>
      </c>
      <c r="J4" s="139" t="n">
        <v>1.0410598861028</v>
      </c>
      <c r="K4" s="119" t="n">
        <v>0.854640673361612</v>
      </c>
      <c r="L4" s="139" t="n">
        <v>0.608728557915258</v>
      </c>
      <c r="M4" s="140" t="n">
        <v>3.07674631327963</v>
      </c>
      <c r="N4" s="139" t="n">
        <v>1.22066679971369</v>
      </c>
      <c r="O4" s="141" t="n">
        <v>0.726159144482451</v>
      </c>
    </row>
    <row r="5" customFormat="false" ht="15.75" hidden="false" customHeight="false" outlineLevel="0" collapsed="false">
      <c r="A5" s="138" t="s">
        <v>6</v>
      </c>
      <c r="B5" s="139" t="s">
        <v>162</v>
      </c>
      <c r="C5" s="118" t="n">
        <v>0.561715788490966</v>
      </c>
      <c r="D5" s="139" t="n">
        <v>0.633047602359369</v>
      </c>
      <c r="E5" s="140" t="n">
        <v>0.440317215495539</v>
      </c>
      <c r="F5" s="139" t="n">
        <v>0.90740240390855</v>
      </c>
      <c r="G5" s="140" t="n">
        <v>1.0162494701976</v>
      </c>
      <c r="H5" s="139" t="n">
        <v>5.21563325962991</v>
      </c>
      <c r="I5" s="140" t="n">
        <v>1.3556960497673</v>
      </c>
      <c r="J5" s="139" t="n">
        <v>1.13520955162317</v>
      </c>
      <c r="K5" s="119" t="n">
        <v>1.09719718177733</v>
      </c>
      <c r="L5" s="139" t="n">
        <v>0.956984028456748</v>
      </c>
      <c r="M5" s="140" t="n">
        <v>3.0682337627467</v>
      </c>
      <c r="N5" s="139" t="n">
        <v>1.28732084056497</v>
      </c>
      <c r="O5" s="141" t="n">
        <v>1.33261644278268</v>
      </c>
    </row>
    <row r="6" customFormat="false" ht="15.75" hidden="false" customHeight="false" outlineLevel="0" collapsed="false">
      <c r="A6" s="138" t="s">
        <v>7</v>
      </c>
      <c r="B6" s="139" t="s">
        <v>162</v>
      </c>
      <c r="C6" s="118" t="n">
        <v>0.270761848317416</v>
      </c>
      <c r="D6" s="139" t="n">
        <v>0.385647292391794</v>
      </c>
      <c r="E6" s="140" t="n">
        <v>1.51739838186343</v>
      </c>
      <c r="F6" s="139" t="n">
        <v>0.85893298661809</v>
      </c>
      <c r="G6" s="140" t="n">
        <v>1.0729931399241</v>
      </c>
      <c r="H6" s="139" t="n">
        <v>9.64749088119863</v>
      </c>
      <c r="I6" s="140" t="n">
        <v>1.17866577955134</v>
      </c>
      <c r="J6" s="139" t="n">
        <v>3.0910444946138</v>
      </c>
      <c r="K6" s="119" t="n">
        <v>0.995261149039499</v>
      </c>
      <c r="L6" s="139" t="n">
        <v>1.19064025953127</v>
      </c>
      <c r="M6" s="140" t="n">
        <v>6.23862374889366</v>
      </c>
      <c r="N6" s="139" t="n">
        <v>1.11734274153652</v>
      </c>
      <c r="O6" s="141" t="n">
        <v>2.70658910734403</v>
      </c>
    </row>
    <row r="7" customFormat="false" ht="15.75" hidden="false" customHeight="false" outlineLevel="0" collapsed="false">
      <c r="A7" s="138" t="s">
        <v>8</v>
      </c>
      <c r="B7" s="139" t="s">
        <v>162</v>
      </c>
      <c r="C7" s="118" t="n">
        <v>0.775214418407934</v>
      </c>
      <c r="D7" s="139" t="n">
        <v>0.657699875754368</v>
      </c>
      <c r="E7" s="140" t="n">
        <v>0.752518535105034</v>
      </c>
      <c r="F7" s="139" t="n">
        <v>1.0046657821822</v>
      </c>
      <c r="G7" s="140" t="n">
        <v>1.00222484588129</v>
      </c>
      <c r="H7" s="139" t="n">
        <v>6.06552849919095</v>
      </c>
      <c r="I7" s="140" t="n">
        <v>0.850644771371381</v>
      </c>
      <c r="J7" s="139" t="n">
        <v>1.16391875669727</v>
      </c>
      <c r="K7" s="119" t="n">
        <v>1.12983517056074</v>
      </c>
      <c r="L7" s="139" t="n">
        <v>0.738336964639453</v>
      </c>
      <c r="M7" s="140" t="n">
        <v>1.72195531394201</v>
      </c>
      <c r="N7" s="139" t="n">
        <v>1.16850874475381</v>
      </c>
      <c r="O7" s="141" t="n">
        <v>1.11980213263211</v>
      </c>
    </row>
    <row r="8" customFormat="false" ht="15.75" hidden="false" customHeight="false" outlineLevel="0" collapsed="false">
      <c r="A8" s="138" t="s">
        <v>9</v>
      </c>
      <c r="B8" s="139" t="s">
        <v>162</v>
      </c>
      <c r="C8" s="118" t="n">
        <v>0.980648288278111</v>
      </c>
      <c r="D8" s="139" t="n">
        <v>0.904689527904717</v>
      </c>
      <c r="E8" s="140" t="n">
        <v>0.978239894653252</v>
      </c>
      <c r="F8" s="139" t="n">
        <v>0.721862257857577</v>
      </c>
      <c r="G8" s="140" t="n">
        <v>1.30755283288931</v>
      </c>
      <c r="H8" s="139" t="n">
        <v>5.04441831972345</v>
      </c>
      <c r="I8" s="140" t="n">
        <v>1.37049145404746</v>
      </c>
      <c r="J8" s="139" t="n">
        <v>1.16438205363103</v>
      </c>
      <c r="K8" s="119" t="n">
        <v>1.20478033813288</v>
      </c>
      <c r="L8" s="139" t="n">
        <v>0.872887660788466</v>
      </c>
      <c r="M8" s="140" t="n">
        <v>2.73155606945778</v>
      </c>
      <c r="N8" s="139" t="n">
        <v>1.39981369635074</v>
      </c>
      <c r="O8" s="141" t="n">
        <v>0.925739098568746</v>
      </c>
    </row>
    <row r="9" customFormat="false" ht="15.75" hidden="false" customHeight="false" outlineLevel="0" collapsed="false">
      <c r="A9" s="138" t="s">
        <v>10</v>
      </c>
      <c r="B9" s="139" t="s">
        <v>162</v>
      </c>
      <c r="C9" s="118" t="n">
        <v>1.11513511931764</v>
      </c>
      <c r="D9" s="139" t="n">
        <v>0.86504714792453</v>
      </c>
      <c r="E9" s="140" t="n">
        <v>0.545992139051251</v>
      </c>
      <c r="F9" s="139" t="n">
        <v>0.764879451879162</v>
      </c>
      <c r="G9" s="140" t="n">
        <v>0.885533123186712</v>
      </c>
      <c r="H9" s="139" t="n">
        <v>3.22052835935417</v>
      </c>
      <c r="I9" s="140" t="n">
        <v>0.749669631206757</v>
      </c>
      <c r="J9" s="139" t="n">
        <v>0.962880886751544</v>
      </c>
      <c r="K9" s="119" t="n">
        <v>1.13322034555776</v>
      </c>
      <c r="L9" s="139" t="n">
        <v>0.677061779626567</v>
      </c>
      <c r="M9" s="140" t="n">
        <v>1.52128371387901</v>
      </c>
      <c r="N9" s="139" t="n">
        <v>0.986975815307463</v>
      </c>
      <c r="O9" s="141" t="n">
        <v>0.855105776854385</v>
      </c>
    </row>
    <row r="10" customFormat="false" ht="15.75" hidden="false" customHeight="false" outlineLevel="0" collapsed="false">
      <c r="A10" s="138" t="s">
        <v>11</v>
      </c>
      <c r="B10" s="139" t="s">
        <v>162</v>
      </c>
      <c r="C10" s="118" t="n">
        <v>0.66546495189602</v>
      </c>
      <c r="D10" s="139" t="n">
        <v>0.767065911630977</v>
      </c>
      <c r="E10" s="140" t="n">
        <v>0.671211868058582</v>
      </c>
      <c r="F10" s="139" t="n">
        <v>0.703313463294878</v>
      </c>
      <c r="G10" s="140" t="n">
        <v>1.06034379267339</v>
      </c>
      <c r="H10" s="139" t="n">
        <v>4.6656117731532</v>
      </c>
      <c r="I10" s="140" t="n">
        <v>1.28638075217849</v>
      </c>
      <c r="J10" s="139" t="n">
        <v>1.11513923069218</v>
      </c>
      <c r="K10" s="119" t="n">
        <v>1.62817017851863</v>
      </c>
      <c r="L10" s="139" t="n">
        <v>0.724259567122349</v>
      </c>
      <c r="M10" s="140" t="n">
        <v>2.42025243439833</v>
      </c>
      <c r="N10" s="139" t="n">
        <v>0.825713361591206</v>
      </c>
      <c r="O10" s="141" t="n">
        <v>0.991859420443587</v>
      </c>
    </row>
    <row r="11" customFormat="false" ht="15.75" hidden="false" customHeight="false" outlineLevel="0" collapsed="false">
      <c r="A11" s="138" t="s">
        <v>23</v>
      </c>
      <c r="B11" s="139" t="s">
        <v>162</v>
      </c>
      <c r="C11" s="118" t="n">
        <v>1.49470988907237</v>
      </c>
      <c r="D11" s="139" t="n">
        <v>1.40596905773555</v>
      </c>
      <c r="E11" s="140" t="n">
        <v>0.947202825174455</v>
      </c>
      <c r="F11" s="139" t="n">
        <v>0.928873410712686</v>
      </c>
      <c r="G11" s="140" t="n">
        <v>1.19144549949996</v>
      </c>
      <c r="H11" s="139" t="n">
        <v>4.64766819034049</v>
      </c>
      <c r="I11" s="140" t="n">
        <v>1.04717804673712</v>
      </c>
      <c r="J11" s="139" t="n">
        <v>0.987600582320729</v>
      </c>
      <c r="K11" s="119" t="n">
        <v>1.66436382955397</v>
      </c>
      <c r="L11" s="139" t="n">
        <v>0.73909592208215</v>
      </c>
      <c r="M11" s="140" t="n">
        <v>1.81695304348033</v>
      </c>
      <c r="N11" s="139" t="n">
        <v>0.947111783310723</v>
      </c>
      <c r="O11" s="141" t="n">
        <v>1.06561292993281</v>
      </c>
    </row>
    <row r="12" customFormat="false" ht="15.75" hidden="false" customHeight="false" outlineLevel="0" collapsed="false">
      <c r="A12" s="138" t="s">
        <v>24</v>
      </c>
      <c r="B12" s="139" t="s">
        <v>162</v>
      </c>
      <c r="C12" s="118" t="n">
        <v>1.39061213584365</v>
      </c>
      <c r="D12" s="139" t="n">
        <v>1.01243892428643</v>
      </c>
      <c r="E12" s="140" t="n">
        <v>1.20141808433666</v>
      </c>
      <c r="F12" s="139" t="n">
        <v>0.881685104462433</v>
      </c>
      <c r="G12" s="140" t="n">
        <v>0.782141873168516</v>
      </c>
      <c r="H12" s="139" t="n">
        <v>2.08967065782591</v>
      </c>
      <c r="I12" s="140" t="n">
        <v>0.467174313568523</v>
      </c>
      <c r="J12" s="139" t="n">
        <v>0.495640458089289</v>
      </c>
      <c r="K12" s="119" t="n">
        <v>1.06732095042508</v>
      </c>
      <c r="L12" s="139" t="n">
        <v>0.563906320471728</v>
      </c>
      <c r="M12" s="140" t="n">
        <v>1.07300671871447</v>
      </c>
      <c r="N12" s="139" t="n">
        <v>0.769360696221075</v>
      </c>
      <c r="O12" s="141" t="n">
        <v>1.00402855955346</v>
      </c>
    </row>
    <row r="13" customFormat="false" ht="15.75" hidden="false" customHeight="false" outlineLevel="0" collapsed="false">
      <c r="A13" s="138" t="s">
        <v>25</v>
      </c>
      <c r="B13" s="139" t="s">
        <v>162</v>
      </c>
      <c r="C13" s="118" t="n">
        <v>1.15107197641155</v>
      </c>
      <c r="D13" s="139" t="n">
        <v>1.30886714833982</v>
      </c>
      <c r="E13" s="140" t="n">
        <v>0.936805792450569</v>
      </c>
      <c r="F13" s="139" t="n">
        <v>1.24482250641615</v>
      </c>
      <c r="G13" s="140" t="n">
        <v>1.48871704628642</v>
      </c>
      <c r="H13" s="139" t="n">
        <v>3.80115960424294</v>
      </c>
      <c r="I13" s="140" t="n">
        <v>0.824814427384189</v>
      </c>
      <c r="J13" s="139" t="n">
        <v>0.578732987422471</v>
      </c>
      <c r="K13" s="119" t="n">
        <v>1.4001331207115</v>
      </c>
      <c r="L13" s="139" t="n">
        <v>0.822097263027866</v>
      </c>
      <c r="M13" s="140" t="n">
        <v>1.41588940389989</v>
      </c>
      <c r="N13" s="139" t="n">
        <v>0.712279029592853</v>
      </c>
      <c r="O13" s="141" t="n">
        <v>1.25444830763861</v>
      </c>
    </row>
    <row r="14" customFormat="false" ht="15.75" hidden="false" customHeight="false" outlineLevel="0" collapsed="false">
      <c r="A14" s="138" t="s">
        <v>26</v>
      </c>
      <c r="B14" s="139" t="s">
        <v>162</v>
      </c>
      <c r="C14" s="118" t="n">
        <v>0.745223034641755</v>
      </c>
      <c r="D14" s="139" t="n">
        <v>0.673626053820276</v>
      </c>
      <c r="E14" s="140" t="n">
        <v>0.843658718040516</v>
      </c>
      <c r="F14" s="139" t="n">
        <v>0.717453162805893</v>
      </c>
      <c r="G14" s="140" t="n">
        <v>0.743375850080119</v>
      </c>
      <c r="H14" s="139" t="n">
        <v>4.11844340073872</v>
      </c>
      <c r="I14" s="140" t="n">
        <v>0.728053409849909</v>
      </c>
      <c r="J14" s="139" t="n">
        <v>0.830487127980397</v>
      </c>
      <c r="K14" s="119" t="n">
        <v>0.886551712482243</v>
      </c>
      <c r="L14" s="139" t="n">
        <v>0.59682766300402</v>
      </c>
      <c r="M14" s="140" t="n">
        <v>1.93839857441303</v>
      </c>
      <c r="N14" s="139" t="n">
        <v>1.15651282815963</v>
      </c>
      <c r="O14" s="141" t="n">
        <v>0.865169295092836</v>
      </c>
    </row>
    <row r="15" customFormat="false" ht="15.75" hidden="false" customHeight="false" outlineLevel="0" collapsed="false">
      <c r="A15" s="138" t="s">
        <v>27</v>
      </c>
      <c r="B15" s="139" t="s">
        <v>162</v>
      </c>
      <c r="C15" s="118" t="n">
        <v>0.813973074799881</v>
      </c>
      <c r="D15" s="139" t="n">
        <v>0.728102572323333</v>
      </c>
      <c r="E15" s="140" t="n">
        <v>0.756587591162385</v>
      </c>
      <c r="F15" s="139" t="n">
        <v>0.85889002285433</v>
      </c>
      <c r="G15" s="140" t="n">
        <v>1.09396618422807</v>
      </c>
      <c r="H15" s="139" t="n">
        <v>3.83801516975506</v>
      </c>
      <c r="I15" s="140" t="n">
        <v>0.428728070453095</v>
      </c>
      <c r="J15" s="139" t="n">
        <v>0.725897064565005</v>
      </c>
      <c r="K15" s="119" t="n">
        <v>0.715386376682952</v>
      </c>
      <c r="L15" s="139" t="n">
        <v>0.545913634637173</v>
      </c>
      <c r="M15" s="140" t="n">
        <v>1.72949073282368</v>
      </c>
      <c r="N15" s="139" t="n">
        <v>0.942035038691183</v>
      </c>
      <c r="O15" s="141" t="n">
        <v>0.890355373573332</v>
      </c>
    </row>
    <row r="16" customFormat="false" ht="15.75" hidden="false" customHeight="false" outlineLevel="0" collapsed="false">
      <c r="A16" s="138" t="s">
        <v>28</v>
      </c>
      <c r="B16" s="139" t="s">
        <v>162</v>
      </c>
      <c r="C16" s="118" t="n">
        <v>1.40438164855102</v>
      </c>
      <c r="D16" s="139" t="n">
        <v>1.25057098596663</v>
      </c>
      <c r="E16" s="140" t="n">
        <v>0.741152776364833</v>
      </c>
      <c r="F16" s="139" t="n">
        <v>0.85064709976331</v>
      </c>
      <c r="G16" s="140" t="n">
        <v>0.922773109919027</v>
      </c>
      <c r="H16" s="139" t="n">
        <v>2.80583218192652</v>
      </c>
      <c r="I16" s="140" t="n">
        <v>0.519943950819303</v>
      </c>
      <c r="J16" s="139" t="n">
        <v>0.546581063265916</v>
      </c>
      <c r="K16" s="119" t="n">
        <v>1.54144384603543</v>
      </c>
      <c r="L16" s="139" t="n">
        <v>0.647285529955353</v>
      </c>
      <c r="M16" s="140" t="n">
        <v>0.861490767337995</v>
      </c>
      <c r="N16" s="139" t="n">
        <v>0.650414154467376</v>
      </c>
      <c r="O16" s="141" t="n">
        <v>0.961123426647235</v>
      </c>
    </row>
    <row r="17" customFormat="false" ht="15.75" hidden="false" customHeight="false" outlineLevel="0" collapsed="false">
      <c r="A17" s="138" t="s">
        <v>29</v>
      </c>
      <c r="B17" s="139" t="s">
        <v>162</v>
      </c>
      <c r="C17" s="118" t="n">
        <v>0.634693499987331</v>
      </c>
      <c r="D17" s="139" t="n">
        <v>0.777203644658161</v>
      </c>
      <c r="E17" s="140" t="n">
        <v>0.576664123980761</v>
      </c>
      <c r="F17" s="139" t="n">
        <v>0.996179029213021</v>
      </c>
      <c r="G17" s="140" t="n">
        <v>0.198629702715307</v>
      </c>
      <c r="H17" s="139" t="n">
        <v>5.7295114219575</v>
      </c>
      <c r="I17" s="140" t="n">
        <v>1.02132773795383</v>
      </c>
      <c r="J17" s="139" t="n">
        <v>1.22576902845329</v>
      </c>
      <c r="K17" s="119" t="n">
        <v>0.71489714518158</v>
      </c>
      <c r="L17" s="139" t="n">
        <v>0.754750296737135</v>
      </c>
      <c r="M17" s="140" t="n">
        <v>1.97475426099145</v>
      </c>
      <c r="N17" s="139" t="n">
        <v>1.64136297025741</v>
      </c>
      <c r="O17" s="141" t="n">
        <v>1.10353156654311</v>
      </c>
    </row>
    <row r="18" customFormat="false" ht="15.75" hidden="false" customHeight="false" outlineLevel="0" collapsed="false">
      <c r="A18" s="138" t="s">
        <v>30</v>
      </c>
      <c r="B18" s="139" t="s">
        <v>162</v>
      </c>
      <c r="C18" s="118" t="n">
        <v>0.698094852460337</v>
      </c>
      <c r="D18" s="139" t="n">
        <v>1.04051581954395</v>
      </c>
      <c r="E18" s="140" t="n">
        <v>1.50863017398742</v>
      </c>
      <c r="F18" s="139" t="n">
        <v>1.1252857915855</v>
      </c>
      <c r="G18" s="140" t="n">
        <v>1.27319876403862</v>
      </c>
      <c r="H18" s="139" t="n">
        <v>8.06272617885343</v>
      </c>
      <c r="I18" s="140" t="n">
        <v>1.41711956541604</v>
      </c>
      <c r="J18" s="139" t="n">
        <v>1.62027525807531</v>
      </c>
      <c r="K18" s="119" t="n">
        <v>1.11680083686835</v>
      </c>
      <c r="L18" s="139" t="n">
        <v>0.61965348900801</v>
      </c>
      <c r="M18" s="140" t="n">
        <v>3.01323323138287</v>
      </c>
      <c r="N18" s="139" t="n">
        <v>1.58685412295668</v>
      </c>
      <c r="O18" s="141" t="n">
        <v>1.66907505104543</v>
      </c>
    </row>
    <row r="19" customFormat="false" ht="15.75" hidden="false" customHeight="false" outlineLevel="0" collapsed="false">
      <c r="A19" s="142" t="s">
        <v>31</v>
      </c>
      <c r="B19" s="143" t="s">
        <v>162</v>
      </c>
      <c r="C19" s="125" t="n">
        <v>0.615813956973042</v>
      </c>
      <c r="D19" s="143" t="n">
        <v>0.690607752054495</v>
      </c>
      <c r="E19" s="144" t="n">
        <v>0.965450620649728</v>
      </c>
      <c r="F19" s="143" t="n">
        <v>1.01649867518181</v>
      </c>
      <c r="G19" s="144" t="n">
        <v>0.871246260054409</v>
      </c>
      <c r="H19" s="143" t="n">
        <v>5.43684357611633</v>
      </c>
      <c r="I19" s="144" t="n">
        <v>0.738417928662554</v>
      </c>
      <c r="J19" s="143" t="n">
        <v>0.740267234440813</v>
      </c>
      <c r="K19" s="126" t="n">
        <v>0.710102301258202</v>
      </c>
      <c r="L19" s="143" t="n">
        <v>0.667446429728451</v>
      </c>
      <c r="M19" s="144" t="n">
        <v>2.02402518922534</v>
      </c>
      <c r="N19" s="143" t="n">
        <v>0.994834630918435</v>
      </c>
      <c r="O19" s="145" t="n">
        <v>1.22484947151775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900"/>
    <outlinePr summaryBelow="0"/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I25" activeCellId="0" sqref="I25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0" width="14.24"/>
    <col collapsed="false" customWidth="true" hidden="false" outlineLevel="0" max="2" min="2" style="0" width="7.81"/>
    <col collapsed="false" customWidth="true" hidden="false" outlineLevel="0" max="4" min="3" style="0" width="7.57"/>
    <col collapsed="false" customWidth="true" hidden="false" outlineLevel="0" max="5" min="5" style="0" width="7.69"/>
    <col collapsed="false" customWidth="true" hidden="false" outlineLevel="0" max="6" min="6" style="0" width="10.24"/>
    <col collapsed="false" customWidth="true" hidden="false" outlineLevel="0" max="7" min="7" style="0" width="8.3"/>
    <col collapsed="false" customWidth="true" hidden="false" outlineLevel="0" max="8" min="8" style="0" width="8.05"/>
    <col collapsed="false" customWidth="true" hidden="false" outlineLevel="0" max="9" min="9" style="0" width="7.57"/>
    <col collapsed="false" customWidth="true" hidden="false" outlineLevel="0" max="10" min="10" style="0" width="8.41"/>
    <col collapsed="false" customWidth="true" hidden="false" outlineLevel="0" max="11" min="11" style="0" width="7.57"/>
    <col collapsed="false" customWidth="true" hidden="false" outlineLevel="0" max="12" min="12" style="0" width="9.39"/>
    <col collapsed="false" customWidth="true" hidden="false" outlineLevel="0" max="13" min="13" style="0" width="8.05"/>
    <col collapsed="false" customWidth="true" hidden="false" outlineLevel="0" max="14" min="14" style="0" width="7.57"/>
    <col collapsed="false" customWidth="true" hidden="false" outlineLevel="0" max="15" min="15" style="0" width="9.14"/>
    <col collapsed="false" customWidth="true" hidden="false" outlineLevel="0" max="16" min="16" style="0" width="7.57"/>
  </cols>
  <sheetData>
    <row r="1" customFormat="false" ht="15.75" hidden="false" customHeight="false" outlineLevel="0" collapsed="false">
      <c r="A1" s="100"/>
      <c r="B1" s="103" t="s">
        <v>22</v>
      </c>
      <c r="C1" s="100" t="s">
        <v>33</v>
      </c>
      <c r="D1" s="104" t="s">
        <v>34</v>
      </c>
      <c r="E1" s="100" t="s">
        <v>35</v>
      </c>
      <c r="F1" s="104" t="s">
        <v>36</v>
      </c>
      <c r="G1" s="103" t="s">
        <v>37</v>
      </c>
      <c r="H1" s="105" t="s">
        <v>161</v>
      </c>
      <c r="I1" s="103" t="s">
        <v>38</v>
      </c>
      <c r="J1" s="105" t="s">
        <v>159</v>
      </c>
      <c r="K1" s="100" t="s">
        <v>39</v>
      </c>
      <c r="L1" s="104" t="s">
        <v>40</v>
      </c>
      <c r="M1" s="100" t="s">
        <v>41</v>
      </c>
      <c r="N1" s="104" t="s">
        <v>42</v>
      </c>
      <c r="O1" s="100" t="s">
        <v>43</v>
      </c>
      <c r="P1" s="106" t="s">
        <v>44</v>
      </c>
    </row>
    <row r="2" customFormat="false" ht="15.75" hidden="false" customHeight="false" outlineLevel="0" collapsed="false">
      <c r="A2" s="108" t="s">
        <v>3</v>
      </c>
      <c r="B2" s="111" t="n">
        <v>0.554634388849424</v>
      </c>
      <c r="C2" s="109" t="n">
        <v>0.468879067632034</v>
      </c>
      <c r="D2" s="112" t="n">
        <v>0.944989279549827</v>
      </c>
      <c r="E2" s="109" t="n">
        <v>0.441564878444005</v>
      </c>
      <c r="F2" s="112" t="n">
        <v>0.902943683444571</v>
      </c>
      <c r="G2" s="111" t="n">
        <v>2.90838296593398</v>
      </c>
      <c r="H2" s="113" t="n">
        <v>0.483595513859926</v>
      </c>
      <c r="I2" s="111" t="n">
        <v>0.665184366654808</v>
      </c>
      <c r="J2" s="113" t="n">
        <v>0.517076883023867</v>
      </c>
      <c r="K2" s="109" t="n">
        <v>0.641924982845809</v>
      </c>
      <c r="L2" s="112" t="n">
        <v>0.489363328899537</v>
      </c>
      <c r="M2" s="109" t="n">
        <v>0.379923598388864</v>
      </c>
      <c r="N2" s="112" t="n">
        <v>1.38663650937785</v>
      </c>
      <c r="O2" s="109" t="n">
        <v>0.760778131277277</v>
      </c>
      <c r="P2" s="114" t="n">
        <v>0.540020351999233</v>
      </c>
    </row>
    <row r="3" customFormat="false" ht="15.75" hidden="false" customHeight="false" outlineLevel="0" collapsed="false">
      <c r="A3" s="115" t="s">
        <v>4</v>
      </c>
      <c r="B3" s="118" t="n">
        <v>0.870868937496984</v>
      </c>
      <c r="C3" s="116" t="n">
        <v>0.969676551526357</v>
      </c>
      <c r="D3" s="119" t="n">
        <v>0.5160361350219</v>
      </c>
      <c r="E3" s="116" t="n">
        <v>0.698331357594568</v>
      </c>
      <c r="F3" s="119" t="n">
        <v>1.06954366993892</v>
      </c>
      <c r="G3" s="118" t="n">
        <v>2.71068702237403</v>
      </c>
      <c r="H3" s="120" t="n">
        <v>0.47324330524607</v>
      </c>
      <c r="I3" s="118" t="n">
        <v>0.541661887438674</v>
      </c>
      <c r="J3" s="120" t="n">
        <v>0.372579377450243</v>
      </c>
      <c r="K3" s="116" t="n">
        <v>0.47957582375453</v>
      </c>
      <c r="L3" s="119" t="n">
        <v>1.01432720808239</v>
      </c>
      <c r="M3" s="116" t="n">
        <v>0.586385639417925</v>
      </c>
      <c r="N3" s="119" t="n">
        <v>1.069336438486</v>
      </c>
      <c r="O3" s="116" t="n">
        <v>0.734392226897557</v>
      </c>
      <c r="P3" s="121" t="n">
        <v>0.731429184096151</v>
      </c>
    </row>
    <row r="4" customFormat="false" ht="15.75" hidden="false" customHeight="false" outlineLevel="0" collapsed="false">
      <c r="A4" s="115" t="s">
        <v>5</v>
      </c>
      <c r="B4" s="118" t="n">
        <v>0.409823150799878</v>
      </c>
      <c r="C4" s="116" t="n">
        <v>0.715572947191065</v>
      </c>
      <c r="D4" s="119" t="n">
        <v>0.630676200430324</v>
      </c>
      <c r="E4" s="116" t="n">
        <v>0.742489208541671</v>
      </c>
      <c r="F4" s="119" t="n">
        <v>0.880463675028218</v>
      </c>
      <c r="G4" s="118" t="n">
        <v>4.40430513881907</v>
      </c>
      <c r="H4" s="120" t="n">
        <v>0.732482139217609</v>
      </c>
      <c r="I4" s="118" t="n">
        <v>1.07714915731085</v>
      </c>
      <c r="J4" s="120" t="n">
        <v>0.856909195532128</v>
      </c>
      <c r="K4" s="116" t="n">
        <v>1.0410598861028</v>
      </c>
      <c r="L4" s="119" t="n">
        <v>0.854640673361612</v>
      </c>
      <c r="M4" s="116" t="n">
        <v>0.608728557915258</v>
      </c>
      <c r="N4" s="119" t="n">
        <v>3.07674631327963</v>
      </c>
      <c r="O4" s="116" t="n">
        <v>1.22066679971369</v>
      </c>
      <c r="P4" s="121" t="n">
        <v>0.726159144482451</v>
      </c>
    </row>
    <row r="5" customFormat="false" ht="15.75" hidden="false" customHeight="false" outlineLevel="0" collapsed="false">
      <c r="A5" s="115" t="s">
        <v>6</v>
      </c>
      <c r="B5" s="118" t="n">
        <v>0.561715788490966</v>
      </c>
      <c r="C5" s="116" t="n">
        <v>0.633047602359369</v>
      </c>
      <c r="D5" s="119" t="n">
        <v>0.440317215495539</v>
      </c>
      <c r="E5" s="116" t="n">
        <v>0.90740240390855</v>
      </c>
      <c r="F5" s="119" t="n">
        <v>1.0162494701976</v>
      </c>
      <c r="G5" s="118" t="n">
        <v>5.21563325962991</v>
      </c>
      <c r="H5" s="120" t="n">
        <v>0.980660395482308</v>
      </c>
      <c r="I5" s="118" t="n">
        <v>1.3556960497673</v>
      </c>
      <c r="J5" s="120" t="n">
        <v>0.912029383433298</v>
      </c>
      <c r="K5" s="116" t="n">
        <v>1.13520955162317</v>
      </c>
      <c r="L5" s="119" t="n">
        <v>1.09719718177733</v>
      </c>
      <c r="M5" s="116" t="n">
        <v>0.956984028456748</v>
      </c>
      <c r="N5" s="119" t="n">
        <v>3.0682337627467</v>
      </c>
      <c r="O5" s="116" t="n">
        <v>1.28732084056497</v>
      </c>
      <c r="P5" s="121" t="n">
        <v>1.33261644278268</v>
      </c>
    </row>
    <row r="6" customFormat="false" ht="15.75" hidden="false" customHeight="false" outlineLevel="0" collapsed="false">
      <c r="A6" s="115" t="s">
        <v>7</v>
      </c>
      <c r="B6" s="118" t="n">
        <v>0.270761848317416</v>
      </c>
      <c r="C6" s="116" t="n">
        <v>0.385647292391794</v>
      </c>
      <c r="D6" s="119" t="n">
        <v>1.51739838186343</v>
      </c>
      <c r="E6" s="116" t="n">
        <v>0.85893298661809</v>
      </c>
      <c r="F6" s="119" t="n">
        <v>1.0729931399241</v>
      </c>
      <c r="G6" s="118" t="n">
        <v>9.64749088119863</v>
      </c>
      <c r="H6" s="120" t="n">
        <v>1.95678991134856</v>
      </c>
      <c r="I6" s="118" t="n">
        <v>1.17866577955134</v>
      </c>
      <c r="J6" s="120" t="n">
        <v>0.541803729299421</v>
      </c>
      <c r="K6" s="116" t="n">
        <v>3.0910444946138</v>
      </c>
      <c r="L6" s="119" t="n">
        <v>0.995261149039499</v>
      </c>
      <c r="M6" s="116" t="n">
        <v>1.19064025953127</v>
      </c>
      <c r="N6" s="119" t="n">
        <v>6.23862374889366</v>
      </c>
      <c r="O6" s="116" t="n">
        <v>1.11734274153652</v>
      </c>
      <c r="P6" s="121" t="n">
        <v>2.70658910734403</v>
      </c>
    </row>
    <row r="7" customFormat="false" ht="15.75" hidden="false" customHeight="false" outlineLevel="0" collapsed="false">
      <c r="A7" s="115" t="s">
        <v>8</v>
      </c>
      <c r="B7" s="118" t="n">
        <v>0.775214418407934</v>
      </c>
      <c r="C7" s="116" t="n">
        <v>0.657699875754368</v>
      </c>
      <c r="D7" s="119" t="n">
        <v>0.752518535105034</v>
      </c>
      <c r="E7" s="116" t="n">
        <v>1.0046657821822</v>
      </c>
      <c r="F7" s="119" t="n">
        <v>1.00222484588129</v>
      </c>
      <c r="G7" s="118" t="n">
        <v>6.06552849919095</v>
      </c>
      <c r="H7" s="120" t="n">
        <v>0.937427461259788</v>
      </c>
      <c r="I7" s="118" t="n">
        <v>0.850644771371381</v>
      </c>
      <c r="J7" s="120" t="n">
        <v>0.623685100159403</v>
      </c>
      <c r="K7" s="116" t="n">
        <v>1.16391875669727</v>
      </c>
      <c r="L7" s="119" t="n">
        <v>1.12983517056074</v>
      </c>
      <c r="M7" s="116" t="n">
        <v>0.738336964639453</v>
      </c>
      <c r="N7" s="119" t="n">
        <v>1.72195531394201</v>
      </c>
      <c r="O7" s="116" t="n">
        <v>1.16850874475381</v>
      </c>
      <c r="P7" s="121" t="n">
        <v>1.11980213263211</v>
      </c>
    </row>
    <row r="8" customFormat="false" ht="15.75" hidden="false" customHeight="false" outlineLevel="0" collapsed="false">
      <c r="A8" s="115" t="s">
        <v>9</v>
      </c>
      <c r="B8" s="118" t="n">
        <v>0.980648288278111</v>
      </c>
      <c r="C8" s="116" t="n">
        <v>0.904689527904717</v>
      </c>
      <c r="D8" s="119" t="n">
        <v>0.978239894653252</v>
      </c>
      <c r="E8" s="116" t="n">
        <v>0.721862257857577</v>
      </c>
      <c r="F8" s="119" t="n">
        <v>1.30755283288931</v>
      </c>
      <c r="G8" s="118" t="n">
        <v>5.04441831972345</v>
      </c>
      <c r="H8" s="120" t="n">
        <v>0.863879535133079</v>
      </c>
      <c r="I8" s="118" t="n">
        <v>1.37049145404746</v>
      </c>
      <c r="J8" s="120" t="n">
        <v>1.081231715454</v>
      </c>
      <c r="K8" s="116" t="n">
        <v>1.16438205363103</v>
      </c>
      <c r="L8" s="119" t="n">
        <v>1.20478033813288</v>
      </c>
      <c r="M8" s="116" t="n">
        <v>0.872887660788466</v>
      </c>
      <c r="N8" s="119" t="n">
        <v>2.73155606945778</v>
      </c>
      <c r="O8" s="116" t="n">
        <v>1.39981369635074</v>
      </c>
      <c r="P8" s="121" t="n">
        <v>0.925739098568746</v>
      </c>
    </row>
    <row r="9" customFormat="false" ht="15.75" hidden="false" customHeight="false" outlineLevel="0" collapsed="false">
      <c r="A9" s="115" t="s">
        <v>10</v>
      </c>
      <c r="B9" s="118" t="n">
        <v>1.11513511931764</v>
      </c>
      <c r="C9" s="116" t="n">
        <v>0.86504714792453</v>
      </c>
      <c r="D9" s="119" t="n">
        <v>0.545992139051251</v>
      </c>
      <c r="E9" s="116" t="n">
        <v>0.764879451879162</v>
      </c>
      <c r="F9" s="119" t="n">
        <v>0.885533123186712</v>
      </c>
      <c r="G9" s="118" t="n">
        <v>3.22052835935417</v>
      </c>
      <c r="H9" s="120" t="n">
        <v>0.62238691965846</v>
      </c>
      <c r="I9" s="118" t="n">
        <v>0.749669631206757</v>
      </c>
      <c r="J9" s="120" t="n">
        <v>0.465153250901556</v>
      </c>
      <c r="K9" s="116" t="n">
        <v>0.962880886751544</v>
      </c>
      <c r="L9" s="119" t="n">
        <v>1.13322034555776</v>
      </c>
      <c r="M9" s="116" t="n">
        <v>0.677061779626567</v>
      </c>
      <c r="N9" s="119" t="n">
        <v>1.52128371387901</v>
      </c>
      <c r="O9" s="116" t="n">
        <v>0.986975815307463</v>
      </c>
      <c r="P9" s="121" t="n">
        <v>0.855105776854385</v>
      </c>
    </row>
    <row r="10" customFormat="false" ht="15.75" hidden="false" customHeight="false" outlineLevel="0" collapsed="false">
      <c r="A10" s="115" t="s">
        <v>11</v>
      </c>
      <c r="B10" s="118" t="n">
        <v>0.66546495189602</v>
      </c>
      <c r="C10" s="116" t="n">
        <v>0.767065911630977</v>
      </c>
      <c r="D10" s="119" t="n">
        <v>0.671211868058582</v>
      </c>
      <c r="E10" s="116" t="n">
        <v>0.703313463294878</v>
      </c>
      <c r="F10" s="119" t="n">
        <v>1.06034379267339</v>
      </c>
      <c r="G10" s="118" t="n">
        <v>4.6656117731532</v>
      </c>
      <c r="H10" s="120" t="n">
        <v>0.814208747907765</v>
      </c>
      <c r="I10" s="118" t="n">
        <v>1.28638075217849</v>
      </c>
      <c r="J10" s="120" t="n">
        <v>0.990933797546335</v>
      </c>
      <c r="K10" s="116" t="n">
        <v>1.11513923069218</v>
      </c>
      <c r="L10" s="119" t="n">
        <v>1.62817017851863</v>
      </c>
      <c r="M10" s="116" t="n">
        <v>0.724259567122349</v>
      </c>
      <c r="N10" s="119" t="n">
        <v>2.42025243439833</v>
      </c>
      <c r="O10" s="116" t="n">
        <v>0.825713361591206</v>
      </c>
      <c r="P10" s="121" t="n">
        <v>0.991859420443587</v>
      </c>
    </row>
    <row r="11" customFormat="false" ht="15.75" hidden="false" customHeight="false" outlineLevel="0" collapsed="false">
      <c r="A11" s="115" t="s">
        <v>23</v>
      </c>
      <c r="B11" s="118" t="n">
        <v>1.49470988907237</v>
      </c>
      <c r="C11" s="116" t="n">
        <v>1.40596905773555</v>
      </c>
      <c r="D11" s="119" t="n">
        <v>0.947202825174455</v>
      </c>
      <c r="E11" s="116" t="n">
        <v>0.928873410712686</v>
      </c>
      <c r="F11" s="119" t="n">
        <v>1.19144549949996</v>
      </c>
      <c r="G11" s="118" t="n">
        <v>4.64766819034049</v>
      </c>
      <c r="H11" s="120" t="n">
        <v>0.837759297556699</v>
      </c>
      <c r="I11" s="118" t="n">
        <v>1.04717804673712</v>
      </c>
      <c r="J11" s="120" t="n">
        <v>0.715116422931339</v>
      </c>
      <c r="K11" s="116" t="n">
        <v>0.987600582320729</v>
      </c>
      <c r="L11" s="119" t="n">
        <v>1.66436382955397</v>
      </c>
      <c r="M11" s="116" t="n">
        <v>0.73909592208215</v>
      </c>
      <c r="N11" s="119" t="n">
        <v>1.81695304348033</v>
      </c>
      <c r="O11" s="116" t="n">
        <v>0.947111783310723</v>
      </c>
      <c r="P11" s="121" t="n">
        <v>1.06561292993281</v>
      </c>
    </row>
    <row r="12" customFormat="false" ht="15.75" hidden="false" customHeight="false" outlineLevel="0" collapsed="false">
      <c r="A12" s="115" t="s">
        <v>24</v>
      </c>
      <c r="B12" s="118" t="n">
        <v>1.39061213584365</v>
      </c>
      <c r="C12" s="116" t="n">
        <v>1.01243892428643</v>
      </c>
      <c r="D12" s="119" t="n">
        <v>1.20141808433666</v>
      </c>
      <c r="E12" s="116" t="n">
        <v>0.881685104462433</v>
      </c>
      <c r="F12" s="119" t="n">
        <v>0.782141873168516</v>
      </c>
      <c r="G12" s="118" t="n">
        <v>2.08967065782591</v>
      </c>
      <c r="H12" s="120" t="n">
        <v>0.422285569564818</v>
      </c>
      <c r="I12" s="118" t="n">
        <v>0.467174313568523</v>
      </c>
      <c r="J12" s="120" t="n">
        <v>0.266809141003695</v>
      </c>
      <c r="K12" s="116" t="n">
        <v>0.495640458089289</v>
      </c>
      <c r="L12" s="119" t="n">
        <v>1.06732095042508</v>
      </c>
      <c r="M12" s="116" t="n">
        <v>0.563906320471728</v>
      </c>
      <c r="N12" s="119" t="n">
        <v>1.07300671871447</v>
      </c>
      <c r="O12" s="116" t="n">
        <v>0.769360696221075</v>
      </c>
      <c r="P12" s="121" t="n">
        <v>1.00402855955346</v>
      </c>
    </row>
    <row r="13" customFormat="false" ht="15.75" hidden="false" customHeight="false" outlineLevel="0" collapsed="false">
      <c r="A13" s="115" t="s">
        <v>25</v>
      </c>
      <c r="B13" s="118" t="n">
        <v>1.15107197641155</v>
      </c>
      <c r="C13" s="116" t="n">
        <v>1.30886714833982</v>
      </c>
      <c r="D13" s="119" t="n">
        <v>0.936805792450569</v>
      </c>
      <c r="E13" s="116" t="n">
        <v>1.24482250641615</v>
      </c>
      <c r="F13" s="119" t="n">
        <v>1.48871704628642</v>
      </c>
      <c r="G13" s="118" t="n">
        <v>3.80115960424294</v>
      </c>
      <c r="H13" s="120" t="n">
        <v>0.704530698998651</v>
      </c>
      <c r="I13" s="118" t="n">
        <v>0.824814427384189</v>
      </c>
      <c r="J13" s="120" t="n">
        <v>0.532551099553678</v>
      </c>
      <c r="K13" s="116" t="n">
        <v>0.578732987422471</v>
      </c>
      <c r="L13" s="119" t="n">
        <v>1.4001331207115</v>
      </c>
      <c r="M13" s="116" t="n">
        <v>0.822097263027866</v>
      </c>
      <c r="N13" s="119" t="n">
        <v>1.41588940389989</v>
      </c>
      <c r="O13" s="116" t="n">
        <v>0.712279029592853</v>
      </c>
      <c r="P13" s="121" t="n">
        <v>1.25444830763861</v>
      </c>
    </row>
    <row r="14" customFormat="false" ht="15.75" hidden="false" customHeight="false" outlineLevel="0" collapsed="false">
      <c r="A14" s="115" t="s">
        <v>26</v>
      </c>
      <c r="B14" s="118" t="n">
        <v>0.745223034641755</v>
      </c>
      <c r="C14" s="116" t="n">
        <v>0.673626053820276</v>
      </c>
      <c r="D14" s="119" t="n">
        <v>0.843658718040516</v>
      </c>
      <c r="E14" s="116" t="n">
        <v>0.717453162805893</v>
      </c>
      <c r="F14" s="119" t="n">
        <v>0.743375850080119</v>
      </c>
      <c r="G14" s="118" t="n">
        <v>4.11844340073872</v>
      </c>
      <c r="H14" s="120" t="n">
        <v>0.720342299746029</v>
      </c>
      <c r="I14" s="118" t="n">
        <v>0.728053409849909</v>
      </c>
      <c r="J14" s="120" t="n">
        <v>0.478413181854382</v>
      </c>
      <c r="K14" s="116" t="n">
        <v>0.830487127980397</v>
      </c>
      <c r="L14" s="119" t="n">
        <v>0.886551712482243</v>
      </c>
      <c r="M14" s="116" t="n">
        <v>0.59682766300402</v>
      </c>
      <c r="N14" s="119" t="n">
        <v>1.93839857441303</v>
      </c>
      <c r="O14" s="116" t="n">
        <v>1.15651282815963</v>
      </c>
      <c r="P14" s="121" t="n">
        <v>0.865169295092836</v>
      </c>
    </row>
    <row r="15" customFormat="false" ht="15.75" hidden="false" customHeight="false" outlineLevel="0" collapsed="false">
      <c r="A15" s="115" t="s">
        <v>27</v>
      </c>
      <c r="B15" s="118" t="n">
        <v>0.813973074799881</v>
      </c>
      <c r="C15" s="116" t="n">
        <v>0.728102572323333</v>
      </c>
      <c r="D15" s="119" t="n">
        <v>0.756587591162385</v>
      </c>
      <c r="E15" s="116" t="n">
        <v>0.85889002285433</v>
      </c>
      <c r="F15" s="119" t="n">
        <v>1.09396618422807</v>
      </c>
      <c r="G15" s="118" t="n">
        <v>3.83801516975506</v>
      </c>
      <c r="H15" s="120" t="n">
        <v>0.58340384482752</v>
      </c>
      <c r="I15" s="118" t="n">
        <v>0.428728070453095</v>
      </c>
      <c r="J15" s="120" t="n">
        <v>0.2978049428465</v>
      </c>
      <c r="K15" s="116" t="n">
        <v>0.725897064565005</v>
      </c>
      <c r="L15" s="119" t="n">
        <v>0.715386376682952</v>
      </c>
      <c r="M15" s="116" t="n">
        <v>0.545913634637173</v>
      </c>
      <c r="N15" s="119" t="n">
        <v>1.72949073282368</v>
      </c>
      <c r="O15" s="116" t="n">
        <v>0.942035038691183</v>
      </c>
      <c r="P15" s="121" t="n">
        <v>0.890355373573332</v>
      </c>
    </row>
    <row r="16" customFormat="false" ht="15.75" hidden="false" customHeight="false" outlineLevel="0" collapsed="false">
      <c r="A16" s="115" t="s">
        <v>28</v>
      </c>
      <c r="B16" s="118" t="n">
        <v>1.40438164855102</v>
      </c>
      <c r="C16" s="116" t="n">
        <v>1.25057098596663</v>
      </c>
      <c r="D16" s="119" t="n">
        <v>0.741152776364833</v>
      </c>
      <c r="E16" s="116" t="n">
        <v>0.85064709976331</v>
      </c>
      <c r="F16" s="119" t="n">
        <v>0.922773109919027</v>
      </c>
      <c r="G16" s="118" t="n">
        <v>2.80583218192652</v>
      </c>
      <c r="H16" s="120" t="n">
        <v>0.516229303432297</v>
      </c>
      <c r="I16" s="118" t="n">
        <v>0.519943950819303</v>
      </c>
      <c r="J16" s="120" t="n">
        <v>0.321302865937551</v>
      </c>
      <c r="K16" s="116" t="n">
        <v>0.546581063265916</v>
      </c>
      <c r="L16" s="119" t="n">
        <v>1.54144384603543</v>
      </c>
      <c r="M16" s="116" t="n">
        <v>0.647285529955353</v>
      </c>
      <c r="N16" s="119" t="n">
        <v>0.861490767337995</v>
      </c>
      <c r="O16" s="116" t="n">
        <v>0.650414154467376</v>
      </c>
      <c r="P16" s="121" t="n">
        <v>0.961123426647235</v>
      </c>
    </row>
    <row r="17" customFormat="false" ht="15.75" hidden="false" customHeight="false" outlineLevel="0" collapsed="false">
      <c r="A17" s="115" t="s">
        <v>29</v>
      </c>
      <c r="B17" s="118" t="n">
        <v>0.634693499987331</v>
      </c>
      <c r="C17" s="116" t="n">
        <v>0.777203644658161</v>
      </c>
      <c r="D17" s="119" t="n">
        <v>0.576664123980761</v>
      </c>
      <c r="E17" s="116" t="n">
        <v>0.996179029213021</v>
      </c>
      <c r="F17" s="119" t="n">
        <v>0.198629702715307</v>
      </c>
      <c r="G17" s="118" t="n">
        <v>5.7295114219575</v>
      </c>
      <c r="H17" s="120" t="n">
        <v>0.941623033082642</v>
      </c>
      <c r="I17" s="118" t="n">
        <v>1.02132773795383</v>
      </c>
      <c r="J17" s="120" t="n">
        <v>0.74083411950796</v>
      </c>
      <c r="K17" s="116" t="n">
        <v>1.22576902845329</v>
      </c>
      <c r="L17" s="119" t="n">
        <v>0.71489714518158</v>
      </c>
      <c r="M17" s="116" t="n">
        <v>0.754750296737135</v>
      </c>
      <c r="N17" s="119" t="n">
        <v>1.97475426099145</v>
      </c>
      <c r="O17" s="116" t="n">
        <v>1.64136297025741</v>
      </c>
      <c r="P17" s="121" t="n">
        <v>1.10353156654311</v>
      </c>
    </row>
    <row r="18" customFormat="false" ht="15.75" hidden="false" customHeight="false" outlineLevel="0" collapsed="false">
      <c r="A18" s="115" t="s">
        <v>30</v>
      </c>
      <c r="B18" s="118" t="n">
        <v>0.698094852460337</v>
      </c>
      <c r="C18" s="116" t="n">
        <v>1.04051581954395</v>
      </c>
      <c r="D18" s="119" t="n">
        <v>1.50863017398742</v>
      </c>
      <c r="E18" s="116" t="n">
        <v>1.1252857915855</v>
      </c>
      <c r="F18" s="119" t="n">
        <v>1.27319876403862</v>
      </c>
      <c r="G18" s="118" t="n">
        <v>8.06272617885343</v>
      </c>
      <c r="H18" s="120" t="n">
        <v>1.38587937030934</v>
      </c>
      <c r="I18" s="118" t="n">
        <v>1.41711956541604</v>
      </c>
      <c r="J18" s="120" t="n">
        <v>0.954587103410969</v>
      </c>
      <c r="K18" s="116" t="n">
        <v>1.62027525807531</v>
      </c>
      <c r="L18" s="119" t="n">
        <v>1.11680083686835</v>
      </c>
      <c r="M18" s="116" t="n">
        <v>0.61965348900801</v>
      </c>
      <c r="N18" s="119" t="n">
        <v>3.01323323138287</v>
      </c>
      <c r="O18" s="116" t="n">
        <v>1.58685412295668</v>
      </c>
      <c r="P18" s="121" t="n">
        <v>1.66907505104543</v>
      </c>
    </row>
    <row r="19" customFormat="false" ht="15.75" hidden="false" customHeight="false" outlineLevel="0" collapsed="false">
      <c r="A19" s="122" t="s">
        <v>31</v>
      </c>
      <c r="B19" s="125" t="n">
        <v>0.615813956973042</v>
      </c>
      <c r="C19" s="123" t="n">
        <v>0.690607752054495</v>
      </c>
      <c r="D19" s="126" t="n">
        <v>0.965450620649728</v>
      </c>
      <c r="E19" s="123" t="n">
        <v>1.01649867518181</v>
      </c>
      <c r="F19" s="126" t="n">
        <v>0.871246260054409</v>
      </c>
      <c r="G19" s="125" t="n">
        <v>5.43684357611633</v>
      </c>
      <c r="H19" s="127" t="n">
        <v>1.00543038132</v>
      </c>
      <c r="I19" s="125" t="n">
        <v>0.738417928662554</v>
      </c>
      <c r="J19" s="127" t="n">
        <v>0.406096384793554</v>
      </c>
      <c r="K19" s="123" t="n">
        <v>0.740267234440813</v>
      </c>
      <c r="L19" s="126" t="n">
        <v>0.710102301258202</v>
      </c>
      <c r="M19" s="123" t="n">
        <v>0.667446429728451</v>
      </c>
      <c r="N19" s="126" t="n">
        <v>2.02402518922534</v>
      </c>
      <c r="O19" s="123" t="n">
        <v>0.994834630918435</v>
      </c>
      <c r="P19" s="128" t="n">
        <v>1.22484947151775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2026-05-09T13:57:55Z</dcterms:modified>
  <cp:revision>1</cp:revision>
  <dc:subject/>
  <dc:title/>
</cp:coreProperties>
</file>